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c81ab79c2b4b0a" /></Relationships>
</file>

<file path=xl/workbook.xml><?xml version="1.0" encoding="utf-8"?>
<x:workbook xmlns:x="http://schemas.openxmlformats.org/spreadsheetml/2006/main">
  <x:sheets>
    <x:sheet xmlns:r="http://schemas.openxmlformats.org/officeDocument/2006/relationships" name="Übersicht" sheetId="1" r:id="R58dbf3706ff8451b"/>
    <x:sheet xmlns:r="http://schemas.openxmlformats.org/officeDocument/2006/relationships" name="Review 7.9" sheetId="2" r:id="R6aed417482ea4c53"/>
    <x:sheet xmlns:r="http://schemas.openxmlformats.org/officeDocument/2006/relationships" name="Eingabe- &amp; Ausgabe" sheetId="3" r:id="R1b6f9340c6234e9f"/>
    <x:sheet xmlns:r="http://schemas.openxmlformats.org/officeDocument/2006/relationships" name="Maßnahmen" sheetId="4" r:id="Rc57d3ca242624a5f"/>
    <x:sheet xmlns:r="http://schemas.openxmlformats.org/officeDocument/2006/relationships" name="Legende &amp; Hinweise" sheetId="5" r:id="Rf4042ee44cba48d9"/>
    <x:sheet xmlns:r="http://schemas.openxmlformats.org/officeDocument/2006/relationships" name="Unterschriften" sheetId="6" r:id="R7f12fb27ae584b55"/>
    <x:sheet xmlns:r="http://schemas.openxmlformats.org/officeDocument/2006/relationships" name="Referenzen Teil 7" sheetId="7" r:id="Rb597c9c8a7da40b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7365D"/>
      <x:name val="Carlito"/>
    </x:font>
    <x:font>
      <x:b/>
      <x:sz val="11"/>
      <x:color rgb="FFFFFFFF"/>
      <x:name val="Carlito"/>
    </x:font>
    <x:font>
      <x:sz val="11"/>
      <x:color rgb="FF222222"/>
      <x:name val="Carlito"/>
    </x:font>
    <x:font>
      <x:b/>
      <x:sz val="11"/>
      <x:color rgb="FF17365D"/>
      <x:name val="Carlito"/>
    </x:font>
    <x:font>
      <x:sz val="11"/>
      <x:color rgb="FF17365D"/>
      <x:name val="Carlito"/>
    </x:font>
  </x:fonts>
  <x:fills count="11">
    <x:fill>
      <x:patternFill patternType="none"/>
    </x:fill>
    <x:fill>
      <x:patternFill patternType="gray125"/>
    </x:fill>
    <x:fill>
      <x:patternFill patternType="solid">
        <x:fgColor rgb="FF1D4168"/>
      </x:patternFill>
    </x:fill>
    <x:fill>
      <x:patternFill patternType="solid">
        <x:fgColor rgb="FFE7F1F8"/>
      </x:patternFill>
    </x:fill>
    <x:fill>
      <x:patternFill patternType="solid">
        <x:fgColor rgb="FF275D8C"/>
      </x:patternFill>
    </x:fill>
    <x:fill>
      <x:patternFill patternType="solid">
        <x:fgColor rgb="FFFFFFFF"/>
      </x:patternFill>
    </x:fill>
    <x:fill>
      <x:patternFill patternType="solid">
        <x:fgColor rgb="FFFFF2CC"/>
      </x:patternFill>
    </x:fill>
    <x:fill>
      <x:patternFill patternType="solid">
        <x:fgColor rgb="FF5B9BD5"/>
      </x:patternFill>
    </x:fill>
    <x:fill>
      <x:patternFill patternType="solid">
        <x:fgColor rgb="FF0D6A7D"/>
      </x:patternFill>
    </x:fill>
    <x:fill>
      <x:patternFill patternType="solid">
        <x:fgColor rgb="FFE7E6E6"/>
      </x:patternFill>
    </x:fill>
    <x:fill>
      <x:patternFill patternType="solid">
        <x:fgColor rgb="FFF2F2F2"/>
      </x:patternFill>
    </x:fill>
  </x:fills>
  <x:borders count="3">
    <x:border/>
    <x:border>
      <x:left style="thin">
        <x:color rgb="FFB4C7DC"/>
      </x:left>
      <x:right style="thin">
        <x:color rgb="FFB4C7DC"/>
      </x:right>
      <x:top style="thin">
        <x:color rgb="FFB4C7DC"/>
      </x:top>
      <x:bottom style="thin">
        <x:color rgb="FFB4C7DC"/>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6"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2"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200" fontId="5" fillId="3"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3" fillId="4"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2"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c43f7faa204ab2" /><Relationship Type="http://schemas.openxmlformats.org/officeDocument/2006/relationships/theme" Target="/xl/theme/theme1.xml" Id="Rafda3d668da342b4" /><Relationship Type="http://schemas.openxmlformats.org/officeDocument/2006/relationships/sharedStrings" Target="/xl/sharedStrings.xml" Id="Rd140ace6a4314761" /><Relationship Type="http://schemas.openxmlformats.org/officeDocument/2006/relationships/worksheet" Target="/xl/worksheets/sheet1.xml" Id="R58dbf3706ff8451b" /><Relationship Type="http://schemas.openxmlformats.org/officeDocument/2006/relationships/worksheet" Target="/xl/worksheets/sheet2.xml" Id="R6aed417482ea4c53" /><Relationship Type="http://schemas.openxmlformats.org/officeDocument/2006/relationships/worksheet" Target="/xl/worksheets/sheet3.xml" Id="R1b6f9340c6234e9f" /><Relationship Type="http://schemas.openxmlformats.org/officeDocument/2006/relationships/worksheet" Target="/xl/worksheets/sheet4.xml" Id="Rc57d3ca242624a5f" /><Relationship Type="http://schemas.openxmlformats.org/officeDocument/2006/relationships/worksheet" Target="/xl/worksheets/sheet5.xml" Id="Rf4042ee44cba48d9" /><Relationship Type="http://schemas.openxmlformats.org/officeDocument/2006/relationships/worksheet" Target="/xl/worksheets/sheet6.xml" Id="R7f12fb27ae584b55" /><Relationship Type="http://schemas.openxmlformats.org/officeDocument/2006/relationships/worksheet" Target="/xl/worksheets/sheet7.xml" Id="Rb597c9c8a7da40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3" hidden="0" customWidth="1"/>
    <x:col min="6" max="6" width="23" hidden="0" customWidth="1"/>
    <x:col min="7" max="7" width="22" hidden="0" customWidth="1"/>
    <x:col min="8" max="8" width="22" hidden="0" customWidth="1"/>
  </x:cols>
  <x:sheetData>
    <x:row r="1" ht="28" customHeight="1">
      <x:c r="A1" s="4" t="str">
        <x:v>Reviewprotokoll IEC 61508-2 – Kapitel 7.9
Verifikation des E/E/PE-Systems</x:v>
      </x:c>
      <x:c r="B1" s="4"/>
      <x:c r="C1" s="4"/>
      <x:c r="D1" s="4"/>
      <x:c r="E1" s="4"/>
      <x:c r="F1" s="4"/>
      <x:c r="G1" s="4"/>
      <x:c r="H1" s="4"/>
    </x:row>
    <x:row r="2" ht="28" customHeight="1">
      <x:c r="A2" s="4"/>
      <x:c r="B2" s="4"/>
      <x:c r="C2" s="4"/>
      <x:c r="D2" s="4"/>
      <x:c r="E2" s="4"/>
      <x:c r="F2" s="4"/>
      <x:c r="G2" s="4"/>
      <x:c r="H2" s="4"/>
    </x:row>
    <x:row r="3" ht="24" customHeight="1">
      <x:c r="A3" s="8" t="str">
        <x:v>Strukturierte Arbeitsmappe für SIL 1 bis SIL 3 · Eingabefelder sind gelb markiert</x:v>
      </x:c>
      <x:c r="B3" s="8"/>
      <x:c r="C3" s="8"/>
      <x:c r="D3" s="8"/>
      <x:c r="E3" s="8"/>
      <x:c r="F3" s="8"/>
      <x:c r="G3" s="8"/>
      <x:c r="H3" s="8"/>
    </x:row>
    <x:row r="5">
      <x:c r="A5" s="12" t="str">
        <x:v>Reviewdaten</x:v>
      </x:c>
      <x:c r="B5" s="12"/>
      <x:c r="C5" s="12"/>
      <x:c r="D5" s="12"/>
      <x:c r="E5" s="12"/>
      <x:c r="F5" s="12"/>
      <x:c r="G5" s="12"/>
      <x:c r="H5" s="12"/>
    </x:row>
    <x:row r="6">
      <x:c r="A6" s="19" t="str">
        <x:v>Projekt / Teilprojekt</x:v>
      </x:c>
      <x:c r="B6" s="20" t="str"/>
      <x:c r="C6" s="20" t="str"/>
      <x:c r="D6" s="20" t="str"/>
      <x:c r="E6" s="19" t="str">
        <x:v>Review-Gegenstand</x:v>
      </x:c>
      <x:c r="F6" s="20" t="str"/>
      <x:c r="G6" s="20" t="str"/>
      <x:c r="H6" s="20" t="str"/>
    </x:row>
    <x:row r="7">
      <x:c r="A7" s="19" t="str">
        <x:v>Dokument / Referenz</x:v>
      </x:c>
      <x:c r="B7" s="20" t="str"/>
      <x:c r="C7" s="20" t="str"/>
      <x:c r="D7" s="20" t="str"/>
      <x:c r="E7" s="19" t="str">
        <x:v>Index</x:v>
      </x:c>
      <x:c r="F7" s="20" t="str"/>
      <x:c r="G7" s="20" t="str"/>
      <x:c r="H7" s="20" t="str"/>
    </x:row>
    <x:row r="8">
      <x:c r="A8" s="19" t="str">
        <x:v>SIL</x:v>
      </x:c>
      <x:c r="B8" s="20" t="str"/>
      <x:c r="C8" s="20" t="str"/>
      <x:c r="D8" s="20" t="str"/>
      <x:c r="E8" s="19" t="str">
        <x:v>Checkliste</x:v>
      </x:c>
      <x:c r="F8" s="20" t="str">
        <x:v>IEC 61508-2: Kapitel 7.9 Verifikation des E/E/PE-Systems</x:v>
      </x:c>
      <x:c r="G8" s="20" t="str"/>
      <x:c r="H8" s="20" t="str"/>
    </x:row>
    <x:row r="9">
      <x:c r="A9" s="19" t="str">
        <x:v>Ort</x:v>
      </x:c>
      <x:c r="B9" s="20" t="str"/>
      <x:c r="C9" s="20" t="str"/>
      <x:c r="D9" s="20" t="str"/>
      <x:c r="E9" s="19" t="str">
        <x:v>Datum / Zeitraum</x:v>
      </x:c>
      <x:c r="F9" s="20" t="str"/>
      <x:c r="G9" s="20" t="str"/>
      <x:c r="H9" s="20" t="str"/>
    </x:row>
    <x:row r="10">
      <x:c r="A10" s="19" t="str">
        <x:v>Reviewleitung</x:v>
      </x:c>
      <x:c r="B10" s="20" t="str"/>
      <x:c r="C10" s="20" t="str"/>
      <x:c r="D10" s="20" t="str"/>
      <x:c r="E10" s="19" t="str">
        <x:v>Protokollführung</x:v>
      </x:c>
      <x:c r="F10" s="20" t="str"/>
      <x:c r="G10" s="20" t="str"/>
      <x:c r="H10" s="20" t="str"/>
    </x:row>
    <x:row r="12">
      <x:c r="A12" s="12" t="str">
        <x:v>Teilnehmer</x:v>
      </x:c>
      <x:c r="B12" s="12"/>
      <x:c r="C12" s="12"/>
      <x:c r="D12" s="12"/>
      <x:c r="E12" s="12"/>
      <x:c r="F12" s="12"/>
      <x:c r="G12" s="12"/>
      <x:c r="H12" s="12"/>
    </x:row>
    <x:row r="13">
      <x:c r="A13" s="22" t="str">
        <x:v>Teilnehmer 1</x:v>
      </x:c>
      <x:c r="B13" s="23"/>
      <x:c r="C13" s="23"/>
      <x:c r="D13" s="23"/>
      <x:c r="E13" s="23"/>
      <x:c r="F13" s="23"/>
      <x:c r="G13" s="23"/>
      <x:c r="H13" s="23"/>
    </x:row>
    <x:row r="14">
      <x:c r="A14" s="25" t="str">
        <x:v>Teilnehmer 2</x:v>
      </x:c>
      <x:c r="B14" s="23"/>
      <x:c r="C14" s="23"/>
      <x:c r="D14" s="23"/>
      <x:c r="E14" s="23"/>
      <x:c r="F14" s="23"/>
      <x:c r="G14" s="23"/>
      <x:c r="H14" s="23"/>
    </x:row>
    <x:row r="15">
      <x:c r="A15" s="22" t="str">
        <x:v>Teilnehmer 3</x:v>
      </x:c>
      <x:c r="B15" s="23"/>
      <x:c r="C15" s="23"/>
      <x:c r="D15" s="23"/>
      <x:c r="E15" s="23"/>
      <x:c r="F15" s="23"/>
      <x:c r="G15" s="23"/>
      <x:c r="H15" s="23"/>
    </x:row>
    <x:row r="16">
      <x:c r="A16" s="25" t="str">
        <x:v>Teilnehmer 4</x:v>
      </x:c>
      <x:c r="B16" s="23"/>
      <x:c r="C16" s="23"/>
      <x:c r="D16" s="23"/>
      <x:c r="E16" s="23"/>
      <x:c r="F16" s="23"/>
      <x:c r="G16" s="23"/>
      <x:c r="H16" s="23"/>
    </x:row>
    <x:row r="18">
      <x:c r="A18" s="12" t="str">
        <x:v>Fortschritt und Review-Ergebnis</x:v>
      </x:c>
      <x:c r="B18" s="12"/>
      <x:c r="C18" s="12"/>
      <x:c r="D18" s="12"/>
      <x:c r="E18" s="12"/>
      <x:c r="F18" s="12"/>
      <x:c r="G18" s="12"/>
      <x:c r="H18" s="12"/>
    </x:row>
    <x:row r="19">
      <x:c r="A19" s="29" t="str">
        <x:v>Prüfpunkte</x:v>
      </x:c>
      <x:c r="B19" s="29" t="str"/>
      <x:c r="C19" s="29" t="str">
        <x:v>OK</x:v>
      </x:c>
      <x:c r="D19" s="29" t="str"/>
      <x:c r="E19" s="29" t="str">
        <x:v>Nicht OK</x:v>
      </x:c>
      <x:c r="F19" s="29" t="str"/>
      <x:c r="G19" s="29" t="str">
        <x:v>Nicht geprüft</x:v>
      </x:c>
      <x:c r="H19" s="29" t="str">
        <x:v>Abschluss</x:v>
      </x:c>
    </x:row>
    <x:row r="20">
      <x:c r="A20" s="32" t="n">
        <x:f>COUNTA('Review 7.9'!A8:A18)</x:f>
        <x:v>11</x:v>
      </x:c>
      <x:c r="B20" s="32"/>
      <x:c r="C20" s="32" t="n">
        <x:f>COUNTIF('Review 7.9'!G8:G18,"OK")</x:f>
        <x:v>0</x:v>
      </x:c>
      <x:c r="D20" s="32"/>
      <x:c r="E20" s="32" t="n">
        <x:f>COUNTIF('Review 7.9'!G8:G18,"Nicht OK")</x:f>
        <x:v>0</x:v>
      </x:c>
      <x:c r="F20" s="32"/>
      <x:c r="G20" s="32" t="n">
        <x:f>COUNTIF('Review 7.9'!G8:G18,"Nicht geprüft")</x:f>
        <x:v>11</x:v>
      </x:c>
      <x:c r="H20" s="33" t="n">
        <x:f>IF(A20=0,0,(C20+E20)/A20)</x:f>
        <x:v>0</x:v>
      </x:c>
    </x:row>
    <x:row r="22">
      <x:c r="A22" s="30" t="str">
        <x:v>Gesamtergebnis</x:v>
      </x:c>
      <x:c r="B22" s="35"/>
      <x:c r="C22" s="35"/>
      <x:c r="D22" s="35"/>
      <x:c r="E22" s="35"/>
      <x:c r="F22" s="35"/>
      <x:c r="G22" s="35"/>
      <x:c r="H22" s="35"/>
    </x:row>
    <x:row r="23">
      <x:c r="A23" s="37" t="str">
        <x:v>Ergebnis / Begründung</x:v>
      </x:c>
      <x:c r="B23" s="39"/>
      <x:c r="C23" s="39"/>
      <x:c r="D23" s="39"/>
      <x:c r="E23" s="39"/>
      <x:c r="F23" s="39"/>
      <x:c r="G23" s="39"/>
      <x:c r="H23" s="39"/>
    </x:row>
    <x:row r="24">
      <x:c r="A24" s="37"/>
      <x:c r="B24" s="39"/>
      <x:c r="C24" s="39"/>
      <x:c r="D24" s="39"/>
      <x:c r="E24" s="39"/>
      <x:c r="F24" s="39"/>
      <x:c r="G24" s="39"/>
      <x:c r="H24" s="39"/>
    </x:row>
    <x:row r="25">
      <x:c r="A25" s="37"/>
      <x:c r="B25" s="39"/>
      <x:c r="C25" s="39"/>
      <x:c r="D25" s="39"/>
      <x:c r="E25" s="39"/>
      <x:c r="F25" s="39"/>
      <x:c r="G25" s="39"/>
      <x:c r="H25" s="39"/>
    </x:row>
    <x:row r="27">
      <x:c r="A27" s="37" t="str">
        <x:v>Zusammenfassung</x:v>
      </x:c>
      <x:c r="B27" s="39" t="str">
        <x:v>Das Dokument wird auf vollständige, nachvollziehbare und technisch belastbare Umsetzung von IEC 61508-2, Kapitel 7.9, geprüft. Normative Anforderungen und informative Verfahren aus IEC 61508-7 werden getrennt bewertet.</x:v>
      </x:c>
      <x:c r="C27" s="39"/>
      <x:c r="D27" s="39"/>
      <x:c r="E27" s="39"/>
      <x:c r="F27" s="39"/>
      <x:c r="G27" s="39"/>
      <x:c r="H27" s="39"/>
    </x:row>
    <x:row r="28">
      <x:c r="A28" s="37"/>
      <x:c r="B28" s="39"/>
      <x:c r="C28" s="39"/>
      <x:c r="D28" s="39"/>
      <x:c r="E28" s="39"/>
      <x:c r="F28" s="39"/>
      <x:c r="G28" s="39"/>
      <x:c r="H28" s="39"/>
    </x:row>
    <x:row r="29">
      <x:c r="A29" s="37"/>
      <x:c r="B29" s="39"/>
      <x:c r="C29" s="39"/>
      <x:c r="D29" s="39"/>
      <x:c r="E29" s="39"/>
      <x:c r="F29" s="39"/>
      <x:c r="G29" s="39"/>
      <x:c r="H29" s="39"/>
    </x:row>
    <x:row r="30">
      <x:c r="A30" s="37"/>
      <x:c r="B30" s="39"/>
      <x:c r="C30" s="39"/>
      <x:c r="D30" s="39"/>
      <x:c r="E30" s="39"/>
      <x:c r="F30" s="39"/>
      <x:c r="G30" s="39"/>
      <x:c r="H30" s="39"/>
    </x:row>
  </x:sheetData>
  <x:mergeCells>
    <x:mergeCell ref="A1:H2"/>
    <x:mergeCell ref="A3:H3"/>
    <x:mergeCell ref="A5:H5"/>
    <x:mergeCell ref="A12:H12"/>
    <x:mergeCell ref="A18:H18"/>
    <x:mergeCell ref="B22:H22"/>
    <x:mergeCell ref="A23:A25"/>
    <x:mergeCell ref="B23:H25"/>
    <x:mergeCell ref="A27:A30"/>
    <x:mergeCell ref="B27:H30"/>
  </x:mergeCells>
  <x:dataValidations count="2">
    <x:dataValidation type="list" sqref="B8:D8">
      <x:formula1>"SIL 1,SIL 2,SIL 3"</x:formula1>
    </x:dataValidation>
    <x:dataValidation type="list" sqref="B22">
      <x:formula1>"Freigegeben,Freigegeben mit Auflagen,Nicht freigegeben"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66" hidden="0" customWidth="1"/>
    <x:col min="4" max="4" width="30" hidden="0" customWidth="1"/>
    <x:col min="5" max="5" width="34" hidden="0" customWidth="1"/>
    <x:col min="6" max="6" width="22" hidden="0" customWidth="1"/>
    <x:col min="7" max="7" width="17" hidden="0" customWidth="1"/>
  </x:cols>
  <x:sheetData>
    <x:row r="1" ht="28" customHeight="1">
      <x:c r="A1" s="4" t="str">
        <x:v>Checkliste – IEC 61508-2, Kapitel 7.9</x:v>
      </x:c>
      <x:c r="B1" s="4"/>
      <x:c r="C1" s="4"/>
      <x:c r="D1" s="4"/>
      <x:c r="E1" s="4"/>
      <x:c r="F1" s="4"/>
      <x:c r="G1" s="4"/>
    </x:row>
    <x:row r="2" ht="28" customHeight="1">
      <x:c r="A2" s="4"/>
      <x:c r="B2" s="4"/>
      <x:c r="C2" s="4"/>
      <x:c r="D2" s="4"/>
      <x:c r="E2" s="4"/>
      <x:c r="F2" s="4"/>
      <x:c r="G2" s="4"/>
    </x:row>
    <x:row r="3" ht="24" customHeight="1">
      <x:c r="A3" s="8" t="str">
        <x:v>Prüfergebnis: konkrete technische Bewertung. Kommentar / Nachweis: Begründung, Fundstelle, Mess- oder Prüfnachweis beziehungsweise offener Punkt.</x:v>
      </x:c>
      <x:c r="B3" s="8"/>
      <x:c r="C3" s="8"/>
      <x:c r="D3" s="8"/>
      <x:c r="E3" s="8"/>
      <x:c r="F3" s="8"/>
      <x:c r="G3" s="8"/>
    </x:row>
    <x:row r="5">
      <x:c r="A5" s="42" t="str">
        <x:v>Kapitel 7.9</x:v>
      </x:c>
      <x:c r="B5" s="42" t="str">
        <x:v>Verifikation des E/E/PE-Systems</x:v>
      </x:c>
      <x:c r="C5" s="42" t="str">
        <x:v>11 Prüfpunkte</x:v>
      </x:c>
      <x:c r="D5" s="42"/>
      <x:c r="E5" s="42"/>
      <x:c r="F5" s="42" t="str">
        <x:v>Dokumentenbezug</x:v>
      </x:c>
      <x:c r="G5" s="42" t="str">
        <x:v>Status / OK</x:v>
      </x:c>
    </x:row>
    <x:row r="7" ht="32" customHeight="1">
      <x:c r="A7" s="47" t="str">
        <x:v>Nr.</x:v>
      </x:c>
      <x:c r="B7" s="47" t="str">
        <x:v>Normkapitel</x:v>
      </x:c>
      <x:c r="C7" s="47" t="str">
        <x:v>Prüffrage / Prüfkriterium</x:v>
      </x:c>
      <x:c r="D7" s="47" t="str">
        <x:v>Prüfergebnis</x:v>
      </x:c>
      <x:c r="E7" s="47" t="str">
        <x:v>Kommentar / Nachweis</x:v>
      </x:c>
      <x:c r="F7" s="47" t="str">
        <x:v>E/A-Dokumente (IDs)</x:v>
      </x:c>
      <x:c r="G7" s="47" t="str">
        <x:v>Status / OK</x:v>
      </x:c>
    </x:row>
    <x:row r="8" ht="88" customHeight="1">
      <x:c r="A8" s="17" t="str">
        <x:v>Z1</x:v>
      </x:c>
      <x:c r="B8" s="17" t="str">
        <x:v>7.9.1</x:v>
      </x:c>
      <x:c r="C8" s="17" t="str">
        <x:v>Werden die Ergebnisse jeder Phase auf Korrektheit und Konsistenz gegenüber den Eingangsprodukten und maßgebenden Normen bewertet?</x:v>
      </x:c>
      <x:c r="D8" s="20" t="str"/>
      <x:c r="E8" s="20" t="str"/>
      <x:c r="F8" s="18" t="str">
        <x:v>D01, D03, D07</x:v>
      </x:c>
      <x:c r="G8" s="48" t="str">
        <x:v>Nicht geprüft</x:v>
      </x:c>
    </x:row>
    <x:row r="9" ht="88" customHeight="1">
      <x:c r="A9" s="17" t="str">
        <x:v>1</x:v>
      </x:c>
      <x:c r="B9" s="17" t="str">
        <x:v>7.9.2.1</x:v>
      </x:c>
      <x:c r="C9" s="17" t="str">
        <x:v>Sind Verifikationstätigkeiten für jede Lebenszyklusphase gleichzeitig mit der Entwicklung geplant und dokumentiert?</x:v>
      </x:c>
      <x:c r="D9" s="20" t="str"/>
      <x:c r="E9" s="20" t="str"/>
      <x:c r="F9" s="18" t="str">
        <x:v>D03, D12</x:v>
      </x:c>
      <x:c r="G9" s="48" t="str">
        <x:v>Nicht geprüft</x:v>
      </x:c>
    </x:row>
    <x:row r="10" ht="88" customHeight="1">
      <x:c r="A10" s="17" t="str">
        <x:v>2</x:v>
      </x:c>
      <x:c r="B10" s="17" t="str">
        <x:v>7.9.2.2</x:v>
      </x:c>
      <x:c r="C10" s="17" t="str">
        <x:v>Legt die Verifikationsplanung alle phasenspezifischen Kriterien, Verfahren und Werkzeuge fest?</x:v>
      </x:c>
      <x:c r="D10" s="20" t="str"/>
      <x:c r="E10" s="20" t="str"/>
      <x:c r="F10" s="18" t="str">
        <x:v>D03, D04, D06</x:v>
      </x:c>
      <x:c r="G10" s="48" t="str">
        <x:v>Nicht geprüft</x:v>
      </x:c>
    </x:row>
    <x:row r="11" ht="88" customHeight="1">
      <x:c r="A11" s="17" t="str">
        <x:v>3</x:v>
      </x:c>
      <x:c r="B11" s="17" t="str">
        <x:v>7.9.2.3</x:v>
      </x:c>
      <x:c r="C11" s="17" t="str">
        <x:v>Legt die Planung die Tätigkeiten fest, mit denen Korrektheit und Konsistenz gegenüber Eingangsprodukten und Normen nachgewiesen werden?</x:v>
      </x:c>
      <x:c r="D11" s="20" t="str"/>
      <x:c r="E11" s="20" t="str"/>
      <x:c r="F11" s="18" t="str">
        <x:v>D03, D05</x:v>
      </x:c>
      <x:c r="G11" s="48" t="str">
        <x:v>Nicht geprüft</x:v>
      </x:c>
    </x:row>
    <x:row r="12" ht="88" customHeight="1">
      <x:c r="A12" s="17" t="str">
        <x:v>4</x:v>
      </x:c>
      <x:c r="B12" s="17" t="str">
        <x:v>7.9.2.4</x:v>
      </x:c>
      <x:c r="C12" s="17" t="str">
        <x:v>Behandelt die Planung Auswahl von Strategie und Verfahren, Testeinrichtungen, Verifikationstätigkeiten und Bewertung aller unmittelbar oder durch Tests gewonnenen Ergebnisse?</x:v>
      </x:c>
      <x:c r="D12" s="20" t="str"/>
      <x:c r="E12" s="20" t="str"/>
      <x:c r="F12" s="18" t="str">
        <x:v>D03, D04, D05, D06</x:v>
      </x:c>
      <x:c r="G12" s="48" t="str">
        <x:v>Nicht geprüft</x:v>
      </x:c>
    </x:row>
    <x:row r="13" ht="88" customHeight="1">
      <x:c r="A13" s="17" t="str">
        <x:v>5</x:v>
      </x:c>
      <x:c r="B13" s="17" t="str">
        <x:v>7.9.2.5</x:v>
      </x:c>
      <x:c r="C13" s="17" t="str">
        <x:v>Ist in jeder Entwurfs- und Entwicklungsphase nachgewiesen, dass funktionale Anforderungen und Anforderungen an die Sicherheitsintegrität erfüllt sind?</x:v>
      </x:c>
      <x:c r="D13" s="20" t="str"/>
      <x:c r="E13" s="20" t="str"/>
      <x:c r="F13" s="18" t="str">
        <x:v>D07, D12</x:v>
      </x:c>
      <x:c r="G13" s="48" t="str">
        <x:v>Nicht geprüft</x:v>
      </x:c>
    </x:row>
    <x:row r="14" ht="88" customHeight="1">
      <x:c r="A14" s="17" t="str">
        <x:v>6</x:v>
      </x:c>
      <x:c r="B14" s="17" t="str">
        <x:v>7.9.2.6</x:v>
      </x:c>
      <x:c r="C14" s="17" t="str">
        <x:v>Dokumentiert jedes Verifikationsergebnis Bestehen oder Ausfallgründe und bewertet Abweichungen gegenüber Lebenszyklusanforderungen, Entwurfsnormen und Sicherheitsmanagement?</x:v>
      </x:c>
      <x:c r="D14" s="20" t="str"/>
      <x:c r="E14" s="20" t="str"/>
      <x:c r="F14" s="18" t="str">
        <x:v>D07, D08</x:v>
      </x:c>
      <x:c r="G14" s="48" t="str">
        <x:v>Nicht geprüft</x:v>
      </x:c>
    </x:row>
    <x:row r="15" ht="88" customHeight="1">
      <x:c r="A15" s="17" t="str">
        <x:v>7</x:v>
      </x:c>
      <x:c r="B15" s="17" t="str">
        <x:v>7.9.2.7</x:v>
      </x:c>
      <x:c r="C15" s="17" t="str">
        <x:v>Wurde vor Beginn von Entwurf und Entwicklung die Angemessenheit der Entwurfsanforderungen geprüft und wurden Inkompatibilitäten zwischen Sicherheitsanforderungen, Entwurfsanforderungen, Tests und Anwenderdokumentation ausgeschlossen?</x:v>
      </x:c>
      <x:c r="D15" s="20" t="str"/>
      <x:c r="E15" s="20" t="str"/>
      <x:c r="F15" s="18" t="str">
        <x:v>D01, D02, D07</x:v>
      </x:c>
      <x:c r="G15" s="48" t="str">
        <x:v>Nicht geprüft</x:v>
      </x:c>
    </x:row>
    <x:row r="16" ht="88" customHeight="1">
      <x:c r="A16" s="17" t="str">
        <x:v>8</x:v>
      </x:c>
      <x:c r="B16" s="17" t="str">
        <x:v>7.9.2.8</x:v>
      </x:c>
      <x:c r="C16" s="17" t="str">
        <x:v>Wurden vor der Integration Testangemessenheit sowie Konsistenz und Vollständigkeit des Entwurfs bis zur Modulebene geprüft und alle genannten Artefakte auf Inkompatibilitäten untersucht?</x:v>
      </x:c>
      <x:c r="D16" s="20" t="str"/>
      <x:c r="E16" s="20" t="str"/>
      <x:c r="F16" s="18" t="str">
        <x:v>D02, D05, D07</x:v>
      </x:c>
      <x:c r="G16" s="48" t="str">
        <x:v>Nicht geprüft</x:v>
      </x:c>
    </x:row>
    <x:row r="17" ht="88" customHeight="1">
      <x:c r="A17" s="17" t="str">
        <x:v>9</x:v>
      </x:c>
      <x:c r="B17" s="17" t="str">
        <x:v>7.9.2.9</x:v>
      </x:c>
      <x:c r="C17" s="17" t="str">
        <x:v>Ist die Integration des sicherheitsbezogenen Systems verifiziert und ist die Erfüllung sämtlicher Anforderungen aus 7.5 begründet?</x:v>
      </x:c>
      <x:c r="D17" s="20" t="str"/>
      <x:c r="E17" s="20" t="str"/>
      <x:c r="F17" s="18" t="str">
        <x:v>D07, D12</x:v>
      </x:c>
      <x:c r="G17" s="48" t="str">
        <x:v>Nicht geprüft</x:v>
      </x:c>
    </x:row>
    <x:row r="18" ht="88" customHeight="1">
      <x:c r="A18" s="17" t="str">
        <x:v>10</x:v>
      </x:c>
      <x:c r="B18" s="17" t="str">
        <x:v>7.9.2.10</x:v>
      </x:c>
      <x:c r="C18" s="17" t="str">
        <x:v>Sind sämtliche Verifikationstestfälle und ihre Ergebnisse vollständig, eindeutig und rückverfolgbar dokumentiert?</x:v>
      </x:c>
      <x:c r="D18" s="20" t="str"/>
      <x:c r="E18" s="20" t="str"/>
      <x:c r="F18" s="18" t="str">
        <x:v>D05, D07, D12</x:v>
      </x:c>
      <x:c r="G18" s="48" t="str">
        <x:v>Nicht geprüft</x:v>
      </x:c>
    </x:row>
  </x:sheetData>
  <x:mergeCells>
    <x:mergeCell ref="A1:G2"/>
    <x:mergeCell ref="A3:G3"/>
  </x:mergeCells>
  <x:dataValidations count="1">
    <x:dataValidation type="list" sqref="G8:G18">
      <x:formula1>"Nicht geprüft,OK,Nicht OK,N. 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4" hidden="0" customWidth="1"/>
    <x:col min="4" max="4" width="49" hidden="0" customWidth="1"/>
    <x:col min="5" max="5" width="20" hidden="0" customWidth="1"/>
    <x:col min="6" max="6" width="36" hidden="0" customWidth="1"/>
    <x:col min="7" max="7" width="24" hidden="0" customWidth="1"/>
    <x:col min="8" max="8" width="15" hidden="0" customWidth="1"/>
    <x:col min="9" max="9" width="20" hidden="0" customWidth="1"/>
    <x:col min="10" max="10" width="22" hidden="0" customWidth="1"/>
    <x:col min="11" max="11" width="34" hidden="0" customWidth="1"/>
  </x:cols>
  <x:sheetData>
    <x:row r="1" ht="28" customHeight="1">
      <x:c r="A1" s="4" t="str">
        <x:v>Eingabe- und Ausgabedokumente – Kapitel 7.9</x:v>
      </x:c>
      <x:c r="B1" s="4"/>
      <x:c r="C1" s="4"/>
      <x:c r="D1" s="4"/>
      <x:c r="E1" s="4"/>
      <x:c r="F1" s="4"/>
      <x:c r="G1" s="4"/>
      <x:c r="H1" s="4"/>
      <x:c r="I1" s="4"/>
      <x:c r="J1" s="4"/>
      <x:c r="K1" s="4"/>
    </x:row>
    <x:row r="2" ht="28" customHeight="1">
      <x:c r="A2" s="4"/>
      <x:c r="B2" s="4"/>
      <x:c r="C2" s="4"/>
      <x:c r="D2" s="4"/>
      <x:c r="E2" s="4"/>
      <x:c r="F2" s="4"/>
      <x:c r="G2" s="4"/>
      <x:c r="H2" s="4"/>
      <x:c r="I2" s="4"/>
      <x:c r="J2" s="4"/>
      <x:c r="K2" s="4"/>
    </x:row>
    <x:row r="3" ht="24" customHeight="1">
      <x:c r="A3" s="8" t="str">
        <x:v>Dokumentenregister zur rückverfolgbaren Zuordnung der Reviewnachweise</x:v>
      </x:c>
      <x:c r="B3" s="8"/>
      <x:c r="C3" s="8"/>
      <x:c r="D3" s="8"/>
      <x:c r="E3" s="8"/>
      <x:c r="F3" s="8"/>
      <x:c r="G3" s="8"/>
      <x:c r="H3" s="8"/>
      <x:c r="I3" s="8"/>
      <x:c r="J3" s="8"/>
      <x:c r="K3" s="8"/>
    </x:row>
    <x:row r="5">
      <x:c r="A5" s="49" t="str">
        <x:v>Dokumente</x:v>
      </x:c>
      <x:c r="B5" s="49" t="n">
        <x:f>COUNTA(A8:A19)</x:f>
        <x:v>12</x:v>
      </x:c>
      <x:c r="C5" s="49" t="str">
        <x:v>Eingaben</x:v>
      </x:c>
      <x:c r="D5" s="49" t="n">
        <x:f>COUNTIF(B8:B19,"Eingabe")</x:f>
        <x:v>2</x:v>
      </x:c>
      <x:c r="E5" s="49" t="str">
        <x:v>Ausgaben</x:v>
      </x:c>
      <x:c r="F5" s="49" t="n">
        <x:f>COUNTIF(B8:B19,"Ausgabe")</x:f>
        <x:v>10</x:v>
      </x:c>
      <x:c r="G5" s="49" t="str">
        <x:v>Geprüft / freigegeben</x:v>
      </x:c>
      <x:c r="H5" s="49" t="n">
        <x:f>COUNTIF(I8:I19,"Geprüft / freigegeben")</x:f>
        <x:v>0</x:v>
      </x:c>
      <x:c r="I5" s="49" t="str">
        <x:v>Nicht vorgelegt</x:v>
      </x:c>
      <x:c r="J5" s="49" t="n">
        <x:f>COUNTIF(I8:I19,"Nicht vorgelegt")</x:f>
        <x:v>12</x:v>
      </x:c>
      <x:c r="K5" s="49" t="str"/>
    </x:row>
    <x:row r="7">
      <x:c r="A7" s="47" t="str">
        <x:v>ID</x:v>
      </x:c>
      <x:c r="B7" s="47" t="str">
        <x:v>Art</x:v>
      </x:c>
      <x:c r="C7" s="47" t="str">
        <x:v>Normbegriff / Dokument</x:v>
      </x:c>
      <x:c r="D7" s="47" t="str">
        <x:v>Funktion / erwarteter Inhalt</x:v>
      </x:c>
      <x:c r="E7" s="47" t="str">
        <x:v>Bezug Prüfpunkt</x:v>
      </x:c>
      <x:c r="F7" s="47" t="str">
        <x:v>Normreferenz</x:v>
      </x:c>
      <x:c r="G7" s="47" t="str">
        <x:v>Dokumentkennung / Referenz</x:v>
      </x:c>
      <x:c r="H7" s="47" t="str">
        <x:v>Version / Index</x:v>
      </x:c>
      <x:c r="I7" s="47" t="str">
        <x:v>Status</x:v>
      </x:c>
      <x:c r="J7" s="47" t="str">
        <x:v>Verantwortlich</x:v>
      </x:c>
      <x:c r="K7" s="47" t="str">
        <x:v>Ablageort / Bemerkung</x:v>
      </x:c>
    </x:row>
    <x:row r="8" ht="64" customHeight="1">
      <x:c r="A8" s="17" t="str">
        <x:v>D01</x:v>
      </x:c>
      <x:c r="B8" s="17" t="str">
        <x:v>Eingabe</x:v>
      </x:c>
      <x:c r="C8" s="17" t="str">
        <x:v>Phaseneingangsprodukte und Normenbasis</x:v>
      </x:c>
      <x:c r="D8" s="17" t="str">
        <x:v>Enthält den für Verifikation des E/E/PE-Systems erforderlichen, freigegebenen und rückverfolgbaren Nachweis.</x:v>
      </x:c>
      <x:c r="E8" s="17" t="str">
        <x:v>siehe Reviewblatt</x:v>
      </x:c>
      <x:c r="F8" s="17" t="str">
        <x:v>IEC 61508-2, 7.9.1</x:v>
      </x:c>
      <x:c r="G8" s="20" t="str"/>
      <x:c r="H8" s="20" t="str"/>
      <x:c r="I8" s="20" t="str">
        <x:v>Nicht vorgelegt</x:v>
      </x:c>
      <x:c r="J8" s="20" t="str"/>
      <x:c r="K8" s="20" t="str"/>
    </x:row>
    <x:row r="9" ht="64" customHeight="1">
      <x:c r="A9" s="17" t="str">
        <x:v>D02</x:v>
      </x:c>
      <x:c r="B9" s="17" t="str">
        <x:v>Eingabe</x:v>
      </x:c>
      <x:c r="C9" s="17" t="str">
        <x:v>Entwurfs- und Entwicklungsartefakte</x:v>
      </x:c>
      <x:c r="D9" s="17" t="str">
        <x:v>Enthält den für Verifikation des E/E/PE-Systems erforderlichen, freigegebenen und rückverfolgbaren Nachweis.</x:v>
      </x:c>
      <x:c r="E9" s="17" t="str">
        <x:v>siehe Reviewblatt</x:v>
      </x:c>
      <x:c r="F9" s="17" t="str">
        <x:v>IEC 61508-2, 7.9.2</x:v>
      </x:c>
      <x:c r="G9" s="20" t="str"/>
      <x:c r="H9" s="20" t="str"/>
      <x:c r="I9" s="20" t="str">
        <x:v>Nicht vorgelegt</x:v>
      </x:c>
      <x:c r="J9" s="20" t="str"/>
      <x:c r="K9" s="20" t="str"/>
    </x:row>
    <x:row r="10" ht="64" customHeight="1">
      <x:c r="A10" s="17" t="str">
        <x:v>D03</x:v>
      </x:c>
      <x:c r="B10" s="17" t="str">
        <x:v>Ausgabe</x:v>
      </x:c>
      <x:c r="C10" s="17" t="str">
        <x:v>Verifikationsplan</x:v>
      </x:c>
      <x:c r="D10" s="17" t="str">
        <x:v>Enthält den für Verifikation des E/E/PE-Systems erforderlichen, freigegebenen und rückverfolgbaren Nachweis.</x:v>
      </x:c>
      <x:c r="E10" s="17" t="str">
        <x:v>siehe Reviewblatt</x:v>
      </x:c>
      <x:c r="F10" s="17" t="str">
        <x:v>IEC 61508-2, 7.9.2</x:v>
      </x:c>
      <x:c r="G10" s="20" t="str"/>
      <x:c r="H10" s="20" t="str"/>
      <x:c r="I10" s="20" t="str">
        <x:v>Nicht vorgelegt</x:v>
      </x:c>
      <x:c r="J10" s="20" t="str"/>
      <x:c r="K10" s="20" t="str"/>
    </x:row>
    <x:row r="11" ht="64" customHeight="1">
      <x:c r="A11" s="17" t="str">
        <x:v>D04</x:v>
      </x:c>
      <x:c r="B11" s="17" t="str">
        <x:v>Ausgabe</x:v>
      </x:c>
      <x:c r="C11" s="17" t="str">
        <x:v>Verifikationsstrategie und Verfahrensauswahl</x:v>
      </x:c>
      <x:c r="D11" s="17" t="str">
        <x:v>Enthält den für Verifikation des E/E/PE-Systems erforderlichen, freigegebenen und rückverfolgbaren Nachweis.</x:v>
      </x:c>
      <x:c r="E11" s="17" t="str">
        <x:v>siehe Reviewblatt</x:v>
      </x:c>
      <x:c r="F11" s="17" t="str">
        <x:v>IEC 61508-2, 7.9.2</x:v>
      </x:c>
      <x:c r="G11" s="20" t="str"/>
      <x:c r="H11" s="20" t="str"/>
      <x:c r="I11" s="20" t="str">
        <x:v>Nicht vorgelegt</x:v>
      </x:c>
      <x:c r="J11" s="20" t="str"/>
      <x:c r="K11" s="20" t="str"/>
    </x:row>
    <x:row r="12" ht="64" customHeight="1">
      <x:c r="A12" s="17" t="str">
        <x:v>D05</x:v>
      </x:c>
      <x:c r="B12" s="17" t="str">
        <x:v>Ausgabe</x:v>
      </x:c>
      <x:c r="C12" s="17" t="str">
        <x:v>Verifikations-Testspezifikation</x:v>
      </x:c>
      <x:c r="D12" s="17" t="str">
        <x:v>Enthält den für Verifikation des E/E/PE-Systems erforderlichen, freigegebenen und rückverfolgbaren Nachweis.</x:v>
      </x:c>
      <x:c r="E12" s="17" t="str">
        <x:v>siehe Reviewblatt</x:v>
      </x:c>
      <x:c r="F12" s="17" t="str">
        <x:v>IEC 61508-2, 7.9.2</x:v>
      </x:c>
      <x:c r="G12" s="20" t="str"/>
      <x:c r="H12" s="20" t="str"/>
      <x:c r="I12" s="20" t="str">
        <x:v>Nicht vorgelegt</x:v>
      </x:c>
      <x:c r="J12" s="20" t="str"/>
      <x:c r="K12" s="20" t="str"/>
    </x:row>
    <x:row r="13" ht="64" customHeight="1">
      <x:c r="A13" s="17" t="str">
        <x:v>D06</x:v>
      </x:c>
      <x:c r="B13" s="17" t="str">
        <x:v>Ausgabe</x:v>
      </x:c>
      <x:c r="C13" s="17" t="str">
        <x:v>Prüfmittel- und Werkzeugnachweise</x:v>
      </x:c>
      <x:c r="D13" s="17" t="str">
        <x:v>Enthält den für Verifikation des E/E/PE-Systems erforderlichen, freigegebenen und rückverfolgbaren Nachweis.</x:v>
      </x:c>
      <x:c r="E13" s="17" t="str">
        <x:v>siehe Reviewblatt</x:v>
      </x:c>
      <x:c r="F13" s="17" t="str">
        <x:v>IEC 61508-2, 7.9.2</x:v>
      </x:c>
      <x:c r="G13" s="20" t="str"/>
      <x:c r="H13" s="20" t="str"/>
      <x:c r="I13" s="20" t="str">
        <x:v>Nicht vorgelegt</x:v>
      </x:c>
      <x:c r="J13" s="20" t="str"/>
      <x:c r="K13" s="20" t="str"/>
    </x:row>
    <x:row r="14" ht="64" customHeight="1">
      <x:c r="A14" s="17" t="str">
        <x:v>D07</x:v>
      </x:c>
      <x:c r="B14" s="17" t="str">
        <x:v>Ausgabe</x:v>
      </x:c>
      <x:c r="C14" s="17" t="str">
        <x:v>Verifikationsbericht</x:v>
      </x:c>
      <x:c r="D14" s="17" t="str">
        <x:v>Enthält den für Verifikation des E/E/PE-Systems erforderlichen, freigegebenen und rückverfolgbaren Nachweis.</x:v>
      </x:c>
      <x:c r="E14" s="17" t="str">
        <x:v>siehe Reviewblatt</x:v>
      </x:c>
      <x:c r="F14" s="17" t="str">
        <x:v>IEC 61508-2, 7.9.2</x:v>
      </x:c>
      <x:c r="G14" s="20" t="str"/>
      <x:c r="H14" s="20" t="str"/>
      <x:c r="I14" s="20" t="str">
        <x:v>Nicht vorgelegt</x:v>
      </x:c>
      <x:c r="J14" s="20" t="str"/>
      <x:c r="K14" s="20" t="str"/>
    </x:row>
    <x:row r="15" ht="64" customHeight="1">
      <x:c r="A15" s="17" t="str">
        <x:v>D08</x:v>
      </x:c>
      <x:c r="B15" s="17" t="str">
        <x:v>Ausgabe</x:v>
      </x:c>
      <x:c r="C15" s="17" t="str">
        <x:v>Abweichungs- und Fehlerprotokoll</x:v>
      </x:c>
      <x:c r="D15" s="17" t="str">
        <x:v>Enthält den für Verifikation des E/E/PE-Systems erforderlichen, freigegebenen und rückverfolgbaren Nachweis.</x:v>
      </x:c>
      <x:c r="E15" s="17" t="str">
        <x:v>siehe Reviewblatt</x:v>
      </x:c>
      <x:c r="F15" s="17" t="str">
        <x:v>IEC 61508-2, 7.9.2</x:v>
      </x:c>
      <x:c r="G15" s="20" t="str"/>
      <x:c r="H15" s="20" t="str"/>
      <x:c r="I15" s="20" t="str">
        <x:v>Nicht vorgelegt</x:v>
      </x:c>
      <x:c r="J15" s="20" t="str"/>
      <x:c r="K15" s="20" t="str"/>
    </x:row>
    <x:row r="16" ht="64" customHeight="1">
      <x:c r="A16" s="17" t="str">
        <x:v>D09</x:v>
      </x:c>
      <x:c r="B16" s="17" t="str">
        <x:v>Ausgabe</x:v>
      </x:c>
      <x:c r="C16" s="17" t="str">
        <x:v>Diagnosedeckungsgrad-Nachweis</x:v>
      </x:c>
      <x:c r="D16" s="17" t="str">
        <x:v>Enthält den für Verifikation des E/E/PE-Systems erforderlichen, freigegebenen und rückverfolgbaren Nachweis.</x:v>
      </x:c>
      <x:c r="E16" s="17" t="str">
        <x:v>siehe Reviewblatt</x:v>
      </x:c>
      <x:c r="F16" s="17" t="str">
        <x:v>IEC 61508-2, 7.9.2</x:v>
      </x:c>
      <x:c r="G16" s="20" t="str"/>
      <x:c r="H16" s="20" t="str"/>
      <x:c r="I16" s="20" t="str">
        <x:v>Nicht vorgelegt</x:v>
      </x:c>
      <x:c r="J16" s="20" t="str"/>
      <x:c r="K16" s="20" t="str"/>
    </x:row>
    <x:row r="17" ht="64" customHeight="1">
      <x:c r="A17" s="17" t="str">
        <x:v>D10</x:v>
      </x:c>
      <x:c r="B17" s="17" t="str">
        <x:v>Ausgabe</x:v>
      </x:c>
      <x:c r="C17" s="17" t="str">
        <x:v>Integrations-Verifikationsnachweis</x:v>
      </x:c>
      <x:c r="D17" s="17" t="str">
        <x:v>Enthält den für Verifikation des E/E/PE-Systems erforderlichen, freigegebenen und rückverfolgbaren Nachweis.</x:v>
      </x:c>
      <x:c r="E17" s="17" t="str">
        <x:v>siehe Reviewblatt</x:v>
      </x:c>
      <x:c r="F17" s="17" t="str">
        <x:v>IEC 61508-2, 7.9.2</x:v>
      </x:c>
      <x:c r="G17" s="20" t="str"/>
      <x:c r="H17" s="20" t="str"/>
      <x:c r="I17" s="20" t="str">
        <x:v>Nicht vorgelegt</x:v>
      </x:c>
      <x:c r="J17" s="20" t="str"/>
      <x:c r="K17" s="20" t="str"/>
    </x:row>
    <x:row r="18" ht="64" customHeight="1">
      <x:c r="A18" s="17" t="str">
        <x:v>D11</x:v>
      </x:c>
      <x:c r="B18" s="17" t="str">
        <x:v>Ausgabe</x:v>
      </x:c>
      <x:c r="C18" s="17" t="str">
        <x:v>Review- und Freigabenachweis</x:v>
      </x:c>
      <x:c r="D18" s="17" t="str">
        <x:v>Enthält den für Verifikation des E/E/PE-Systems erforderlichen, freigegebenen und rückverfolgbaren Nachweis.</x:v>
      </x:c>
      <x:c r="E18" s="17" t="str">
        <x:v>siehe Reviewblatt</x:v>
      </x:c>
      <x:c r="F18" s="17" t="str">
        <x:v>IEC 61508-2, 7.9.2</x:v>
      </x:c>
      <x:c r="G18" s="20" t="str"/>
      <x:c r="H18" s="20" t="str"/>
      <x:c r="I18" s="20" t="str">
        <x:v>Nicht vorgelegt</x:v>
      </x:c>
      <x:c r="J18" s="20" t="str"/>
      <x:c r="K18" s="20" t="str"/>
    </x:row>
    <x:row r="19" ht="64" customHeight="1">
      <x:c r="A19" s="17" t="str">
        <x:v>D12</x:v>
      </x:c>
      <x:c r="B19" s="17" t="str">
        <x:v>Ausgabe</x:v>
      </x:c>
      <x:c r="C19" s="17" t="str">
        <x:v>Verifikations-Abdeckungsmatrix</x:v>
      </x:c>
      <x:c r="D19" s="17" t="str">
        <x:v>Enthält den für Verifikation des E/E/PE-Systems erforderlichen, freigegebenen und rückverfolgbaren Nachweis.</x:v>
      </x:c>
      <x:c r="E19" s="17" t="str">
        <x:v>siehe Reviewblatt</x:v>
      </x:c>
      <x:c r="F19" s="17" t="str">
        <x:v>IEC 61508-2, 7.9.2</x:v>
      </x:c>
      <x:c r="G19" s="20" t="str"/>
      <x:c r="H19" s="20" t="str"/>
      <x:c r="I19" s="20" t="str">
        <x:v>Nicht vorgelegt</x:v>
      </x:c>
      <x:c r="J19" s="20" t="str"/>
      <x:c r="K19" s="20" t="str"/>
    </x:row>
  </x:sheetData>
  <x:mergeCells>
    <x:mergeCell ref="A1:K2"/>
    <x:mergeCell ref="A3:K3"/>
  </x:mergeCells>
  <x:dataValidations count="1">
    <x:dataValidation type="list" sqref="I8:I19">
      <x:formula1>"Nicht vorgelegt,In Prüfung,Geprüft / freigegeben,Nicht anwendbar"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58" hidden="0" customWidth="1"/>
    <x:col min="4" max="4" width="20" hidden="0" customWidth="1"/>
    <x:col min="5" max="5" width="24" hidden="0" customWidth="1"/>
    <x:col min="6" max="6" width="16" hidden="0" customWidth="1"/>
    <x:col min="7" max="7" width="18" hidden="0" customWidth="1"/>
  </x:cols>
  <x:sheetData>
    <x:row r="1" ht="28" customHeight="1">
      <x:c r="A1" s="4" t="str">
        <x:v>Review-Ergebnisse und durchzuführende Maßnahmen</x:v>
      </x:c>
      <x:c r="B1" s="4"/>
      <x:c r="C1" s="4"/>
      <x:c r="D1" s="4"/>
      <x:c r="E1" s="4"/>
      <x:c r="F1" s="4"/>
      <x:c r="G1" s="4"/>
    </x:row>
    <x:row r="2" ht="28" customHeight="1">
      <x:c r="A2" s="4"/>
      <x:c r="B2" s="4"/>
      <x:c r="C2" s="4"/>
      <x:c r="D2" s="4"/>
      <x:c r="E2" s="4"/>
      <x:c r="F2" s="4"/>
      <x:c r="G2" s="4"/>
    </x:row>
    <x:row r="3" ht="24" customHeight="1">
      <x:c r="A3" s="8" t="str">
        <x:v>A = Aufgabe · I = Information · B = Beschluss. Direkter Rückverfolgungsbezug zu Review 7.9.</x:v>
      </x:c>
      <x:c r="B3" s="8"/>
      <x:c r="C3" s="8"/>
      <x:c r="D3" s="8"/>
      <x:c r="E3" s="8"/>
      <x:c r="F3" s="8"/>
      <x:c r="G3" s="8"/>
    </x:row>
    <x:row r="5">
      <x:c r="A5" s="47" t="str">
        <x:v>ID</x:v>
      </x:c>
      <x:c r="B5" s="47" t="str">
        <x:v>Typ</x:v>
      </x:c>
      <x:c r="C5" s="47" t="str">
        <x:v>Review-Ergebnis / Maßnahme</x:v>
      </x:c>
      <x:c r="D5" s="47" t="str">
        <x:v>Bezug Prüfpunkt</x:v>
      </x:c>
      <x:c r="E5" s="47" t="str">
        <x:v>Verantwortlich</x:v>
      </x:c>
      <x:c r="F5" s="47" t="str">
        <x:v>Fällig am</x:v>
      </x:c>
      <x:c r="G5" s="47" t="str">
        <x:v>Status</x:v>
      </x:c>
    </x:row>
    <x:row r="6" ht="42" customHeight="1">
      <x:c r="A6" s="17" t="str">
        <x:v>M-01</x:v>
      </x:c>
      <x:c r="B6" s="20" t="str"/>
      <x:c r="C6" s="20" t="str"/>
      <x:c r="D6" s="20" t="str"/>
      <x:c r="E6" s="20" t="str"/>
      <x:c r="F6" s="20" t="str"/>
      <x:c r="G6" s="17" t="str">
        <x:v>Offen</x:v>
      </x:c>
    </x:row>
    <x:row r="7" ht="42" customHeight="1">
      <x:c r="A7" s="17" t="str">
        <x:v>M-02</x:v>
      </x:c>
      <x:c r="B7" s="20" t="str"/>
      <x:c r="C7" s="20" t="str"/>
      <x:c r="D7" s="20" t="str"/>
      <x:c r="E7" s="20" t="str"/>
      <x:c r="F7" s="20" t="str"/>
      <x:c r="G7" s="17" t="str">
        <x:v>Offen</x:v>
      </x:c>
    </x:row>
    <x:row r="8" ht="42" customHeight="1">
      <x:c r="A8" s="17" t="str">
        <x:v>M-03</x:v>
      </x:c>
      <x:c r="B8" s="20" t="str"/>
      <x:c r="C8" s="20" t="str"/>
      <x:c r="D8" s="20" t="str"/>
      <x:c r="E8" s="20" t="str"/>
      <x:c r="F8" s="20" t="str"/>
      <x:c r="G8" s="17" t="str">
        <x:v>Offen</x:v>
      </x:c>
    </x:row>
    <x:row r="9" ht="42" customHeight="1">
      <x:c r="A9" s="17" t="str">
        <x:v>M-04</x:v>
      </x:c>
      <x:c r="B9" s="20" t="str"/>
      <x:c r="C9" s="20" t="str"/>
      <x:c r="D9" s="20" t="str"/>
      <x:c r="E9" s="20" t="str"/>
      <x:c r="F9" s="20" t="str"/>
      <x:c r="G9" s="17" t="str">
        <x:v>Offen</x:v>
      </x:c>
    </x:row>
    <x:row r="10" ht="42" customHeight="1">
      <x:c r="A10" s="17" t="str">
        <x:v>M-05</x:v>
      </x:c>
      <x:c r="B10" s="20" t="str"/>
      <x:c r="C10" s="20" t="str"/>
      <x:c r="D10" s="20" t="str"/>
      <x:c r="E10" s="20" t="str"/>
      <x:c r="F10" s="20" t="str"/>
      <x:c r="G10" s="17" t="str">
        <x:v>Offen</x:v>
      </x:c>
    </x:row>
    <x:row r="11" ht="42" customHeight="1">
      <x:c r="A11" s="17" t="str">
        <x:v>M-06</x:v>
      </x:c>
      <x:c r="B11" s="20" t="str"/>
      <x:c r="C11" s="20" t="str"/>
      <x:c r="D11" s="20" t="str"/>
      <x:c r="E11" s="20" t="str"/>
      <x:c r="F11" s="20" t="str"/>
      <x:c r="G11" s="17" t="str">
        <x:v>Offen</x:v>
      </x:c>
    </x:row>
    <x:row r="12" ht="42" customHeight="1">
      <x:c r="A12" s="17" t="str">
        <x:v>M-07</x:v>
      </x:c>
      <x:c r="B12" s="20" t="str"/>
      <x:c r="C12" s="20" t="str"/>
      <x:c r="D12" s="20" t="str"/>
      <x:c r="E12" s="20" t="str"/>
      <x:c r="F12" s="20" t="str"/>
      <x:c r="G12" s="17" t="str">
        <x:v>Offen</x:v>
      </x:c>
    </x:row>
    <x:row r="13" ht="42" customHeight="1">
      <x:c r="A13" s="17" t="str">
        <x:v>M-08</x:v>
      </x:c>
      <x:c r="B13" s="20" t="str"/>
      <x:c r="C13" s="20" t="str"/>
      <x:c r="D13" s="20" t="str"/>
      <x:c r="E13" s="20" t="str"/>
      <x:c r="F13" s="20" t="str"/>
      <x:c r="G13" s="17" t="str">
        <x:v>Offen</x:v>
      </x:c>
    </x:row>
    <x:row r="14" ht="42" customHeight="1">
      <x:c r="A14" s="17" t="str">
        <x:v>M-09</x:v>
      </x:c>
      <x:c r="B14" s="20" t="str"/>
      <x:c r="C14" s="20" t="str"/>
      <x:c r="D14" s="20" t="str"/>
      <x:c r="E14" s="20" t="str"/>
      <x:c r="F14" s="20" t="str"/>
      <x:c r="G14" s="17" t="str">
        <x:v>Offen</x:v>
      </x:c>
    </x:row>
    <x:row r="15" ht="42" customHeight="1">
      <x:c r="A15" s="17" t="str">
        <x:v>M-10</x:v>
      </x:c>
      <x:c r="B15" s="20" t="str"/>
      <x:c r="C15" s="20" t="str"/>
      <x:c r="D15" s="20" t="str"/>
      <x:c r="E15" s="20" t="str"/>
      <x:c r="F15" s="20" t="str"/>
      <x:c r="G15" s="17" t="str">
        <x:v>Offen</x:v>
      </x:c>
    </x:row>
    <x:row r="16" ht="42" customHeight="1">
      <x:c r="A16" s="17" t="str">
        <x:v>M-11</x:v>
      </x:c>
      <x:c r="B16" s="20" t="str"/>
      <x:c r="C16" s="20" t="str"/>
      <x:c r="D16" s="20" t="str"/>
      <x:c r="E16" s="20" t="str"/>
      <x:c r="F16" s="20" t="str"/>
      <x:c r="G16" s="17" t="str">
        <x:v>Offen</x:v>
      </x:c>
    </x:row>
    <x:row r="17" ht="42" customHeight="1">
      <x:c r="A17" s="17" t="str">
        <x:v>M-12</x:v>
      </x:c>
      <x:c r="B17" s="20" t="str"/>
      <x:c r="C17" s="20" t="str"/>
      <x:c r="D17" s="20" t="str"/>
      <x:c r="E17" s="20" t="str"/>
      <x:c r="F17" s="20" t="str"/>
      <x:c r="G17" s="17" t="str">
        <x:v>Offen</x:v>
      </x:c>
    </x:row>
    <x:row r="18" ht="42" customHeight="1">
      <x:c r="A18" s="17" t="str">
        <x:v>M-13</x:v>
      </x:c>
      <x:c r="B18" s="20" t="str"/>
      <x:c r="C18" s="20" t="str"/>
      <x:c r="D18" s="20" t="str"/>
      <x:c r="E18" s="20" t="str"/>
      <x:c r="F18" s="20" t="str"/>
      <x:c r="G18" s="17" t="str">
        <x:v>Offen</x:v>
      </x:c>
    </x:row>
    <x:row r="19" ht="42" customHeight="1">
      <x:c r="A19" s="17" t="str">
        <x:v>M-14</x:v>
      </x:c>
      <x:c r="B19" s="20" t="str"/>
      <x:c r="C19" s="20" t="str"/>
      <x:c r="D19" s="20" t="str"/>
      <x:c r="E19" s="20" t="str"/>
      <x:c r="F19" s="20" t="str"/>
      <x:c r="G19" s="17" t="str">
        <x:v>Offen</x:v>
      </x:c>
    </x:row>
    <x:row r="20" ht="42" customHeight="1">
      <x:c r="A20" s="17" t="str">
        <x:v>M-15</x:v>
      </x:c>
      <x:c r="B20" s="20" t="str"/>
      <x:c r="C20" s="20" t="str"/>
      <x:c r="D20" s="20" t="str"/>
      <x:c r="E20" s="20" t="str"/>
      <x:c r="F20" s="20" t="str"/>
      <x:c r="G20" s="17" t="str">
        <x:v>Offen</x:v>
      </x:c>
    </x:row>
    <x:row r="21" ht="42" customHeight="1">
      <x:c r="A21" s="17" t="str">
        <x:v>M-16</x:v>
      </x:c>
      <x:c r="B21" s="20" t="str"/>
      <x:c r="C21" s="20" t="str"/>
      <x:c r="D21" s="20" t="str"/>
      <x:c r="E21" s="20" t="str"/>
      <x:c r="F21" s="20" t="str"/>
      <x:c r="G21" s="17" t="str">
        <x:v>Offen</x:v>
      </x:c>
    </x:row>
    <x:row r="22" ht="42" customHeight="1">
      <x:c r="A22" s="17" t="str">
        <x:v>M-17</x:v>
      </x:c>
      <x:c r="B22" s="20" t="str"/>
      <x:c r="C22" s="20" t="str"/>
      <x:c r="D22" s="20" t="str"/>
      <x:c r="E22" s="20" t="str"/>
      <x:c r="F22" s="20" t="str"/>
      <x:c r="G22" s="17" t="str">
        <x:v>Offen</x:v>
      </x:c>
    </x:row>
    <x:row r="23" ht="42" customHeight="1">
      <x:c r="A23" s="17" t="str">
        <x:v>M-18</x:v>
      </x:c>
      <x:c r="B23" s="20" t="str"/>
      <x:c r="C23" s="20" t="str"/>
      <x:c r="D23" s="20" t="str"/>
      <x:c r="E23" s="20" t="str"/>
      <x:c r="F23" s="20" t="str"/>
      <x:c r="G23" s="17" t="str">
        <x:v>Offen</x:v>
      </x:c>
    </x:row>
    <x:row r="24" ht="42" customHeight="1">
      <x:c r="A24" s="17" t="str">
        <x:v>M-19</x:v>
      </x:c>
      <x:c r="B24" s="20" t="str"/>
      <x:c r="C24" s="20" t="str"/>
      <x:c r="D24" s="20" t="str"/>
      <x:c r="E24" s="20" t="str"/>
      <x:c r="F24" s="20" t="str"/>
      <x:c r="G24" s="17" t="str">
        <x:v>Offen</x:v>
      </x:c>
    </x:row>
    <x:row r="25" ht="42" customHeight="1">
      <x:c r="A25" s="17" t="str">
        <x:v>M-20</x:v>
      </x:c>
      <x:c r="B25" s="20" t="str"/>
      <x:c r="C25" s="20" t="str"/>
      <x:c r="D25" s="20" t="str"/>
      <x:c r="E25" s="20" t="str"/>
      <x:c r="F25" s="20" t="str"/>
      <x:c r="G25" s="17" t="str">
        <x:v>Offen</x:v>
      </x:c>
    </x:row>
  </x:sheetData>
  <x:mergeCells>
    <x:mergeCell ref="A1:G2"/>
    <x:mergeCell ref="A3:G3"/>
  </x:mergeCells>
  <x:dataValidations count="2">
    <x:dataValidation type="list" sqref="B6:B25">
      <x:formula1>"A,I,B"</x:formula1>
    </x:dataValidation>
    <x:dataValidation type="list" sqref="G6:G25">
      <x:formula1>"Offen,In Bearbeitung,Erledigt,Entfällt"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54" hidden="0" customWidth="1"/>
    <x:col min="4" max="4" width="45" hidden="0" customWidth="1"/>
  </x:cols>
  <x:sheetData>
    <x:row r="1" ht="28" customHeight="1">
      <x:c r="A1" s="4" t="str">
        <x:v>Legende und Anwendungshinweise</x:v>
      </x:c>
      <x:c r="B1" s="4"/>
      <x:c r="C1" s="4"/>
      <x:c r="D1" s="4"/>
    </x:row>
    <x:row r="2" ht="28" customHeight="1">
      <x:c r="A2" s="4"/>
      <x:c r="B2" s="4"/>
      <x:c r="C2" s="4"/>
      <x:c r="D2" s="4"/>
    </x:row>
    <x:row r="3" ht="24" customHeight="1">
      <x:c r="A3" s="8" t="str">
        <x:v>Anwendung für IEC 61508-2, Kapitel 7.9</x:v>
      </x:c>
      <x:c r="B3" s="8"/>
      <x:c r="C3" s="8"/>
      <x:c r="D3" s="8"/>
    </x:row>
    <x:row r="5">
      <x:c r="A5" s="47" t="str">
        <x:v>Prüfpunktarten in IEC 61508-2, Kapitel 7.9</x:v>
      </x:c>
      <x:c r="B5" s="47" t="str">
        <x:v>Empfehlungsgrade nach IEC 61508</x:v>
      </x:c>
      <x:c r="C5" s="47" t="str"/>
      <x:c r="D5" s="47" t="str"/>
    </x:row>
    <x:row r="6">
      <x:c r="A6" s="47" t="str">
        <x:v>Kennzeichen</x:v>
      </x:c>
      <x:c r="B6" s="47" t="str">
        <x:v>Bedeutung</x:v>
      </x:c>
      <x:c r="C6" s="47" t="str">
        <x:v>Anwendung im Review</x:v>
      </x:c>
      <x:c r="D6" s="47" t="str">
        <x:v>Geltungsbereich</x:v>
      </x:c>
    </x:row>
    <x:row r="7" ht="52" customHeight="1">
      <x:c r="A7" s="17" t="str">
        <x:v>A</x:v>
      </x:c>
      <x:c r="B7" s="17" t="str">
        <x:v>Verbindliche Anforderung</x:v>
      </x:c>
      <x:c r="C7" s="17" t="str">
        <x:v>Erfüllung anhand eines konkreten, freigegebenen Nachweises bewerten.</x:v>
      </x:c>
      <x:c r="D7" s="17" t="str">
        <x:v>IEC 61508-2, 7.9.2</x:v>
      </x:c>
    </x:row>
    <x:row r="8" ht="52" customHeight="1">
      <x:c r="A8" s="17" t="str">
        <x:v>Z</x:v>
      </x:c>
      <x:c r="B8" s="17" t="str">
        <x:v>Ziel des Unterabschnitts</x:v>
      </x:c>
      <x:c r="C8" s="17" t="str">
        <x:v>Prüfen, ob die geforderte technische Wirkung vollständig erreicht wird.</x:v>
      </x:c>
      <x:c r="D8" s="17" t="str">
        <x:v>IEC 61508-2, 7.9.1</x:v>
      </x:c>
    </x:row>
    <x:row r="9" ht="52" customHeight="1">
      <x:c r="A9" s="17" t="str">
        <x:v>I</x:v>
      </x:c>
      <x:c r="B9" s="17" t="str">
        <x:v>Informative Anmerkung</x:v>
      </x:c>
      <x:c r="C9" s="17" t="str">
        <x:v>Als Auslegungshilfe verwenden; nicht als eigenständige Muss-Anforderung behandeln.</x:v>
      </x:c>
      <x:c r="D9" s="17" t="str">
        <x:v>Anmerkungen zu 7.9</x:v>
      </x:c>
    </x:row>
    <x:row r="10" ht="52" customHeight="1"/>
    <x:row r="11" ht="52" customHeight="1">
      <x:c r="A11" s="47" t="str">
        <x:v>Arbeitsweise</x:v>
      </x:c>
      <x:c r="B11" s="47" t="str"/>
      <x:c r="C11" s="47" t="str"/>
      <x:c r="D11" s="47" t="str"/>
    </x:row>
    <x:row r="12" ht="52" customHeight="1">
      <x:c r="A12" s="47" t="str">
        <x:v>Schritt</x:v>
      </x:c>
      <x:c r="B12" s="47" t="str">
        <x:v>Vorgehen</x:v>
      </x:c>
      <x:c r="C12" s="47" t="str">
        <x:v>Dokumentation</x:v>
      </x:c>
      <x:c r="D12" s="47" t="str">
        <x:v>Hinweis</x:v>
      </x:c>
    </x:row>
    <x:row r="13" ht="52" customHeight="1">
      <x:c r="A13" s="17" t="str">
        <x:v>1</x:v>
      </x:c>
      <x:c r="B13" s="17" t="str">
        <x:v>Reviewdaten auf Übersicht ausfüllen.</x:v>
      </x:c>
      <x:c r="C13" s="17" t="str">
        <x:v>Projekt, Dokument, SIL, Teilnehmer und Termin erfassen.</x:v>
      </x:c>
      <x:c r="D13" s="17" t="str">
        <x:v>Gelbe Zellen sind Eingabefelder.</x:v>
      </x:c>
    </x:row>
    <x:row r="14" ht="52" customHeight="1">
      <x:c r="A14" s="17" t="str">
        <x:v>2</x:v>
      </x:c>
      <x:c r="B14" s="17" t="str">
        <x:v>Dokumente registrieren.</x:v>
      </x:c>
      <x:c r="C14" s="17" t="str">
        <x:v>Kennung, Version, Status, Verantwortlichen und Ablageort eintragen.</x:v>
      </x:c>
      <x:c r="D14" s="17" t="str">
        <x:v>D01 bis D12 sind für Kapitel 7.9 vorbereitet.</x:v>
      </x:c>
    </x:row>
    <x:row r="15" ht="52" customHeight="1">
      <x:c r="A15" s="17" t="str">
        <x:v>3</x:v>
      </x:c>
      <x:c r="B15" s="17" t="str">
        <x:v>Prüfpunkte bewerten.</x:v>
      </x:c>
      <x:c r="C15" s="17" t="str">
        <x:v>Auf Review 7.9 Ergebnis und konkrete Nachweise eintragen.</x:v>
      </x:c>
      <x:c r="D15" s="17" t="str">
        <x:v>Status über das Auswahlfeld setzen.</x:v>
      </x:c>
    </x:row>
    <x:row r="16" ht="52" customHeight="1">
      <x:c r="A16" s="17" t="str">
        <x:v>4</x:v>
      </x:c>
      <x:c r="B16" s="17" t="str">
        <x:v>Maßnahmen erfassen.</x:v>
      </x:c>
      <x:c r="C16" s="17" t="str">
        <x:v>Abweichungen und Beschlüsse mit Verantwortlichem und Termin führen.</x:v>
      </x:c>
      <x:c r="D16" s="17" t="str">
        <x:v>IDs M-01 bis M-20 sind vorbereitet.</x:v>
      </x:c>
    </x:row>
    <x:row r="17" ht="52" customHeight="1">
      <x:c r="A17" s="17" t="str">
        <x:v>5</x:v>
      </x:c>
      <x:c r="B17" s="17" t="str">
        <x:v>Teil-7-Referenzen anwenden.</x:v>
      </x:c>
      <x:c r="C17" s="17" t="str">
        <x:v>Empfehlungsgrad und Wirksamkeit für SIL 1 bis SIL 3 getrennt bewerten.</x:v>
      </x:c>
      <x:c r="D17" s="17" t="str">
        <x:v>Teil-7-Verfahren sind informativ; die Muss-Anforderung folgt aus Teil 2.</x:v>
      </x:c>
    </x:row>
    <x:row r="18" ht="52" customHeight="1">
      <x:c r="A18" s="17" t="str">
        <x:v>6</x:v>
      </x:c>
      <x:c r="B18" s="17" t="str">
        <x:v>Gesamtergebnis festlegen.</x:v>
      </x:c>
      <x:c r="C18" s="17" t="str">
        <x:v>Ergebnis, Begründung und Zusammenfassung dokumentieren.</x:v>
      </x:c>
      <x:c r="D18" s="17" t="str">
        <x:v>Kennzahlen werden automatisch berechnet.</x:v>
      </x:c>
    </x:row>
    <x:row r="19" ht="52" customHeight="1">
      <x:c r="A19" s="17" t="str">
        <x:v>7</x:v>
      </x:c>
      <x:c r="B19" s="17" t="str">
        <x:v>Unterschriften dokumentieren.</x:v>
      </x:c>
      <x:c r="C19" s="17" t="str">
        <x:v>Name, Funktion, Datum und Bestätigung eintragen.</x:v>
      </x:c>
      <x:c r="D19" s="17" t="str">
        <x:v>Digital oder nach Ausdruck verwendbar.</x:v>
      </x:c>
    </x:row>
    <x:row r="20" ht="52" customHeight="1"/>
    <x:row r="21" ht="38" customHeight="1">
      <x:c r="A21" s="52" t="str">
        <x:v>Quellen: DIN EN 61508-2, Kapitel 7.9; DIN EN 61508-7 gemäß den exakt angegebenen Einzelreferenzen.</x:v>
      </x:c>
      <x:c r="B21" s="52"/>
      <x:c r="C21" s="52"/>
      <x:c r="D21" s="52"/>
    </x:row>
  </x:sheetData>
  <x:mergeCells>
    <x:mergeCell ref="A1:D2"/>
    <x:mergeCell ref="A3:D3"/>
    <x:mergeCell ref="A21:D2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32" hidden="0" customWidth="1"/>
    <x:col min="3" max="3" width="22" hidden="0" customWidth="1"/>
    <x:col min="4" max="4" width="22" hidden="0" customWidth="1"/>
    <x:col min="5" max="5" width="45" hidden="0" customWidth="1"/>
  </x:cols>
  <x:sheetData>
    <x:row r="1" ht="28" customHeight="1">
      <x:c r="A1" s="4" t="str">
        <x:v>Anhang Formblatt Unterschriften</x:v>
      </x:c>
      <x:c r="B1" s="4"/>
      <x:c r="C1" s="4"/>
      <x:c r="D1" s="4"/>
      <x:c r="E1" s="4"/>
    </x:row>
    <x:row r="2" ht="28" customHeight="1">
      <x:c r="A2" s="4"/>
      <x:c r="B2" s="4"/>
      <x:c r="C2" s="4"/>
      <x:c r="D2" s="4"/>
      <x:c r="E2" s="4"/>
    </x:row>
    <x:row r="3" ht="24" customHeight="1">
      <x:c r="A3" s="8" t="str">
        <x:v>Bestätigung des Reviews nach IEC 61508-2, Kapitel 7.9</x:v>
      </x:c>
      <x:c r="B3" s="8"/>
      <x:c r="C3" s="8"/>
      <x:c r="D3" s="8"/>
      <x:c r="E3" s="8"/>
    </x:row>
    <x:row r="5">
      <x:c r="A5" s="47" t="str">
        <x:v>Name</x:v>
      </x:c>
      <x:c r="B5" s="47" t="str">
        <x:v>Funktion / Organisation</x:v>
      </x:c>
      <x:c r="C5" s="47" t="str">
        <x:v>Datum</x:v>
      </x:c>
      <x:c r="D5" s="47" t="str">
        <x:v>Bestätigung</x:v>
      </x:c>
      <x:c r="E5" s="47" t="str">
        <x:v>Bemerkung</x:v>
      </x:c>
    </x:row>
    <x:row r="6" ht="50" customHeight="1">
      <x:c r="A6" s="20" t="str"/>
      <x:c r="B6" s="20" t="str"/>
      <x:c r="C6" s="20" t="str"/>
      <x:c r="D6" s="20" t="str"/>
      <x:c r="E6" s="20" t="str"/>
    </x:row>
    <x:row r="7" ht="50" customHeight="1">
      <x:c r="A7" s="20" t="str"/>
      <x:c r="B7" s="20" t="str"/>
      <x:c r="C7" s="20" t="str"/>
      <x:c r="D7" s="20" t="str"/>
      <x:c r="E7" s="20" t="str"/>
    </x:row>
    <x:row r="8" ht="50" customHeight="1">
      <x:c r="A8" s="20" t="str"/>
      <x:c r="B8" s="20" t="str"/>
      <x:c r="C8" s="20" t="str"/>
      <x:c r="D8" s="20" t="str"/>
      <x:c r="E8" s="20" t="str"/>
    </x:row>
    <x:row r="9" ht="50" customHeight="1">
      <x:c r="A9" s="20" t="str"/>
      <x:c r="B9" s="20" t="str"/>
      <x:c r="C9" s="20" t="str"/>
      <x:c r="D9" s="20" t="str"/>
      <x:c r="E9" s="20" t="str"/>
    </x:row>
    <x:row r="10" ht="50" customHeight="1">
      <x:c r="A10" s="20" t="str"/>
      <x:c r="B10" s="20" t="str"/>
      <x:c r="C10" s="20" t="str"/>
      <x:c r="D10" s="20" t="str"/>
      <x:c r="E10" s="20" t="str"/>
    </x:row>
    <x:row r="11" ht="50" customHeight="1">
      <x:c r="A11" s="20" t="str"/>
      <x:c r="B11" s="20" t="str"/>
      <x:c r="C11" s="20" t="str"/>
      <x:c r="D11" s="20" t="str"/>
      <x:c r="E11" s="20" t="str"/>
    </x:row>
    <x:row r="12" ht="50" customHeight="1">
      <x:c r="A12" s="20" t="str"/>
      <x:c r="B12" s="20" t="str"/>
      <x:c r="C12" s="20" t="str"/>
      <x:c r="D12" s="20" t="str"/>
      <x:c r="E12" s="20" t="str"/>
    </x:row>
    <x:row r="13" ht="50" customHeight="1">
      <x:c r="A13" s="20" t="str"/>
      <x:c r="B13" s="20" t="str"/>
      <x:c r="C13" s="20" t="str"/>
      <x:c r="D13" s="20" t="str"/>
      <x:c r="E13" s="20" t="str"/>
    </x:row>
    <x:row r="14" ht="50" customHeight="1">
      <x:c r="A14" s="20" t="str"/>
      <x:c r="B14" s="20" t="str"/>
      <x:c r="C14" s="20" t="str"/>
      <x:c r="D14" s="20" t="str"/>
      <x:c r="E14" s="20" t="str"/>
    </x:row>
    <x:row r="15" ht="50" customHeight="1">
      <x:c r="A15" s="20" t="str"/>
      <x:c r="B15" s="20" t="str"/>
      <x:c r="C15" s="20" t="str"/>
      <x:c r="D15" s="20" t="str"/>
      <x:c r="E15" s="20" t="str"/>
    </x:row>
  </x:sheetData>
  <x:mergeCells>
    <x:mergeCell ref="A1:E2"/>
    <x:mergeCell ref="A3:E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72" hidden="0" customWidth="1"/>
    <x:col min="4" max="4" width="24" hidden="0" customWidth="1"/>
    <x:col min="5" max="5" width="18" hidden="0" customWidth="1"/>
    <x:col min="6" max="6" width="18" hidden="0" customWidth="1"/>
    <x:col min="7" max="7" width="18" hidden="0" customWidth="1"/>
    <x:col min="8" max="8" width="38" hidden="0" customWidth="1"/>
    <x:col min="9" max="9" width="36" hidden="0" customWidth="1"/>
  </x:cols>
  <x:sheetData>
    <x:row r="1" ht="28" customHeight="1">
      <x:c r="A1" s="4" t="str">
        <x:v>Verfahren und Maßnahmen – IEC 61508-2, Kapitel 7.9</x:v>
      </x:c>
      <x:c r="B1" s="4"/>
      <x:c r="C1" s="4"/>
      <x:c r="D1" s="4"/>
      <x:c r="E1" s="4"/>
      <x:c r="F1" s="4"/>
      <x:c r="G1" s="4"/>
      <x:c r="H1" s="4"/>
      <x:c r="I1" s="4"/>
    </x:row>
    <x:row r="2" ht="28" customHeight="1">
      <x:c r="A2" s="4"/>
      <x:c r="B2" s="4"/>
      <x:c r="C2" s="4"/>
      <x:c r="D2" s="4"/>
      <x:c r="E2" s="4"/>
      <x:c r="F2" s="4"/>
      <x:c r="G2" s="4"/>
      <x:c r="H2" s="4"/>
      <x:c r="I2" s="4"/>
    </x:row>
    <x:row r="3" ht="24" customHeight="1">
      <x:c r="A3" s="8" t="str">
        <x:v>Exakte Referenzen auf IEC 61508-7; Erläuterungen sind ingenieurwissenschaftlich aus den referenzierten Abschnitten abgeleitet.</x:v>
      </x:c>
      <x:c r="B3" s="8"/>
      <x:c r="C3" s="8"/>
      <x:c r="D3" s="8"/>
      <x:c r="E3" s="8"/>
      <x:c r="F3" s="8"/>
      <x:c r="G3" s="8"/>
      <x:c r="H3" s="8"/>
      <x:c r="I3" s="8"/>
    </x:row>
    <x:row r="5">
      <x:c r="A5" s="12" t="str">
        <x:v>Referenztabelle Verfahren und Maßnahmen</x:v>
      </x:c>
      <x:c r="B5" s="12"/>
      <x:c r="C5" s="12"/>
      <x:c r="D5" s="12"/>
      <x:c r="E5" s="12"/>
      <x:c r="F5" s="12"/>
      <x:c r="G5" s="12"/>
      <x:c r="H5" s="12"/>
      <x:c r="I5" s="12"/>
    </x:row>
    <x:row r="6" ht="42" customHeight="1">
      <x:c r="A6" s="47" t="str">
        <x:v>Nr.</x:v>
      </x:c>
      <x:c r="B6" s="47" t="str">
        <x:v>Verfahren / Maßnahme</x:v>
      </x:c>
      <x:c r="C6" s="47" t="str">
        <x:v>Erläuterung</x:v>
      </x:c>
      <x:c r="D6" s="47" t="str">
        <x:v>IEC 61508-7</x:v>
      </x:c>
      <x:c r="E6" s="47" t="str">
        <x:v>SIL 1</x:v>
      </x:c>
      <x:c r="F6" s="47" t="str">
        <x:v>SIL 2</x:v>
      </x:c>
      <x:c r="G6" s="47" t="str">
        <x:v>SIL 3</x:v>
      </x:c>
      <x:c r="H6" s="47" t="str">
        <x:v>Quelle in IEC 61508-2</x:v>
      </x:c>
      <x:c r="I6" s="47" t="str">
        <x:v>Review / Nachweis</x:v>
      </x:c>
    </x:row>
    <x:row r="7" ht="100" customHeight="1">
      <x:c r="A7" s="18" t="str">
        <x:v>B.5/1</x:v>
      </x:c>
      <x:c r="B7" s="17" t="str">
        <x:v>Funktionstest</x:v>
      </x:c>
      <x:c r="C7" s="17" t="str">
        <x:v>Der Funktionstest beaufschlagt das System mit repräsentativen Eingaben aus dem vorgesehenen Betrieb. Beobachtete Ausgaben und Zustandsfolgen werden mit der Spezifikation verglichen. Abweichungen und unvollständige Anforderungen sind nachvollziehbar zu dokumentieren und zu bearbeiten.</x:v>
      </x:c>
      <x:c r="D7" s="17" t="str">
        <x:v>B.5.1</x:v>
      </x:c>
      <x:c r="E7" s="17" t="str">
        <x:v>++ / hoch</x:v>
      </x:c>
      <x:c r="F7" s="17" t="str">
        <x:v>++ / hoch</x:v>
      </x:c>
      <x:c r="G7" s="17" t="str">
        <x:v>++ / hoch</x:v>
      </x:c>
      <x:c r="H7" s="17" t="str">
        <x:v>IEC 61508-2, Anmerkung 1 zu 7.9.2.8; Tabelle B.5, Nr. 1</x:v>
      </x:c>
      <x:c r="I7" s="20" t="str"/>
    </x:row>
    <x:row r="8" ht="100" customHeight="1">
      <x:c r="A8" s="18" t="str">
        <x:v>B.5/2</x:v>
      </x:c>
      <x:c r="B8" s="17" t="str">
        <x:v>Funktionstest unter Umgebungsbedingungen</x:v>
      </x:c>
      <x:c r="C8" s="17" t="str">
        <x:v>Der Funktionstest unter Umgebungsbedingungen beaufschlagt das System mit repräsentativen klimatischen, mechanischen und elektromagnetischen Einwirkungen. Dabei wird geprüft, ob Funktion und Sicherheitsintegrität innerhalb der spezifizierten Grenzen erhalten bleiben. Prüfpegel, Betriebszustände und Akzeptanzkriterien sind vorab festzulegen.</x:v>
      </x:c>
      <x:c r="D8" s="17" t="str">
        <x:v>B.6.1</x:v>
      </x:c>
      <x:c r="E8" s="17" t="str">
        <x:v>++ / hoch</x:v>
      </x:c>
      <x:c r="F8" s="17" t="str">
        <x:v>++ / hoch</x:v>
      </x:c>
      <x:c r="G8" s="17" t="str">
        <x:v>++ / hoch</x:v>
      </x:c>
      <x:c r="H8" s="17" t="str">
        <x:v>IEC 61508-2, Anmerkung 1 zu 7.9.2.8; Tabelle B.5, Nr. 2</x:v>
      </x:c>
      <x:c r="I8" s="20" t="str"/>
    </x:row>
    <x:row r="9" ht="100" customHeight="1">
      <x:c r="A9" s="18" t="str">
        <x:v>B.5/3</x:v>
      </x:c>
      <x:c r="B9" s="17" t="str">
        <x:v>Stoßspannungs-Störfestigkeitstest</x:v>
      </x:c>
      <x:c r="C9" s="17" t="str">
        <x:v>Der Stoßspannungs-Störfestigkeitstest betreibt das Prüfling-System mit repräsentativem Programm und beaufschlagt relevante Versorgungs- und Signalschnittstellen. Prüfpegel werden nach der zutreffenden Norm gewählt und gegebenenfalls bis zur Funktionsgrenze gesteigert. Jede unzulässige Funktionsabweichung führt zur Nichterfüllung oder erfordert eine begründete Korrektur.</x:v>
      </x:c>
      <x:c r="D9" s="17" t="str">
        <x:v>B.6.2</x:v>
      </x:c>
      <x:c r="E9" s="17" t="str">
        <x:v>++ / hoch</x:v>
      </x:c>
      <x:c r="F9" s="17" t="str">
        <x:v>++ / hoch</x:v>
      </x:c>
      <x:c r="G9" s="17" t="str">
        <x:v>++ / hoch</x:v>
      </x:c>
      <x:c r="H9" s="17" t="str">
        <x:v>IEC 61508-2, Anmerkung 1 zu 7.9.2.8; Tabelle B.5, Nr. 3</x:v>
      </x:c>
      <x:c r="I9" s="20" t="str"/>
    </x:row>
    <x:row r="10" ht="100" customHeight="1">
      <x:c r="A10" s="18" t="str">
        <x:v>B.5/4</x:v>
      </x:c>
      <x:c r="B10" s="17" t="str">
        <x:v>Test durch Fehlereinbau, DC ≥ 90 %</x:v>
      </x:c>
      <x:c r="C10" s="17" t="str">
        <x:v>Beim Test durch Fehlereinbau werden repräsentative Hardwarefehler real oder simuliert eingebracht. Die beobachtete Reaktion wird klassifiziert und mit der erwarteten Diagnose- und Sicherheitswirkung verglichen. Je nach Diagnosedeckungsgrad sind auch Kombinationen bislang unerkannter Fehler einzubeziehen.</x:v>
      </x:c>
      <x:c r="D10" s="17" t="str">
        <x:v>B.6.10</x:v>
      </x:c>
      <x:c r="E10" s="17" t="str">
        <x:v>++ / hoch</x:v>
      </x:c>
      <x:c r="F10" s="17" t="str">
        <x:v>++ / hoch</x:v>
      </x:c>
      <x:c r="G10" s="17" t="str">
        <x:v>++ / hoch</x:v>
      </x:c>
      <x:c r="H10" s="17" t="str">
        <x:v>IEC 61508-2, Anmerkung 1 zu 7.9.2.8; Tabelle B.5, Nr. 4</x:v>
      </x:c>
      <x:c r="I10" s="20" t="str"/>
    </x:row>
    <x:row r="11" ht="100" customHeight="1">
      <x:c r="A11" s="18" t="str">
        <x:v>B.5/5</x:v>
      </x:c>
      <x:c r="B11" s="17" t="str">
        <x:v>Projektmanagement</x:v>
      </x:c>
      <x:c r="C11" s="17" t="str">
        <x:v>Das Projektmanagement ordnet Aufgaben, Rollen, Befugnisse und organisatorische Unabhängigkeit eindeutig zu. Es legt den Sicherheitslebenszyklus, Qualitätsmaßnahmen, Prüfungen und Freigaben nachvollziehbar fest. Dadurch werden Verantwortungsdiffusion, ungeprüfte Übergaben und unkontrollierte Änderungen systematisch vermieden.</x:v>
      </x:c>
      <x:c r="D11" s="17" t="str">
        <x:v>B.1.1</x:v>
      </x:c>
      <x:c r="E11" s="17" t="str">
        <x:v>verbindlich / niedrig</x:v>
      </x:c>
      <x:c r="F11" s="17" t="str">
        <x:v>verbindlich / niedrig</x:v>
      </x:c>
      <x:c r="G11" s="17" t="str">
        <x:v>verbindlich / mittel</x:v>
      </x:c>
      <x:c r="H11" s="17" t="str">
        <x:v>IEC 61508-2, Anmerkung 1 zu 7.9.2.8; Tabelle B.5, Nr. 5</x:v>
      </x:c>
      <x:c r="I11" s="20" t="str"/>
    </x:row>
    <x:row r="12" ht="100" customHeight="1">
      <x:c r="A12" s="18" t="str">
        <x:v>B.5/6</x:v>
      </x:c>
      <x:c r="B12" s="17" t="str">
        <x:v>Dokumentation</x:v>
      </x:c>
      <x:c r="C12" s="17" t="str">
        <x:v>Die Dokumentation bildet jeden relevanten Entwicklungsschritt und seine Ergebnisse nachvollziehbar ab. Struktur, Inhalt, Versionierung und Freigabestatus müssen so beherrscht sein, dass Anforderungen und Nachweise rückverfolgbar bleiben. Kontrollierte Dokument- und Bibliotheksbestände verhindern, dass veraltete oder ungeprüfte Informationen verwendet werden.</x:v>
      </x:c>
      <x:c r="D12" s="17" t="str">
        <x:v>B.1.2</x:v>
      </x:c>
      <x:c r="E12" s="17" t="str">
        <x:v>verbindlich / niedrig</x:v>
      </x:c>
      <x:c r="F12" s="17" t="str">
        <x:v>verbindlich / niedrig</x:v>
      </x:c>
      <x:c r="G12" s="17" t="str">
        <x:v>verbindlich / mittel</x:v>
      </x:c>
      <x:c r="H12" s="17" t="str">
        <x:v>IEC 61508-2, Anmerkung 1 zu 7.9.2.8; Tabelle B.5, Nr. 6</x:v>
      </x:c>
      <x:c r="I12" s="20" t="str"/>
    </x:row>
    <x:row r="13" ht="191.0800018310547" customHeight="1">
      <x:c r="A13" s="18" t="str">
        <x:v>B.5/7</x:v>
      </x:c>
      <x:c r="B13" s="17" t="str">
        <x:v>Statische, dynamische und Ausfallanalyse</x:v>
      </x:c>
      <x:c r="C13" s="17" t="str">
        <x:v>Die statische Analyse prüft nichtausgeführte Artefakte systematisch und reproduzierbar auf definierte Eigenschaften. Vollständigkeit, Konsistenz und Eindeutigkeit werden gegen Regeln, Spezifikationen und Datenblätter bewertet. Feststellungen müssen rückverfolgbar dokumentiert und vor Freigabe geschlossen oder begründet werden. Die dynamische Analyse untersucht einen ausführbaren oder prototypischen Systemstand mit repräsentativen Eingaben. Beobachtetes Zeit- und Funktionsverhalten wird mit den festgelegten Anforderungen verglichen. Fehler werden korrigiert und die betroffenen Prüfungen einschließlich Regression wiederholt.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3" s="17" t="str">
        <x:v>B.6.4 / B.6.5 / B.6.6</x:v>
      </x:c>
      <x:c r="E13" s="17" t="str">
        <x:v>o / niedrig</x:v>
      </x:c>
      <x:c r="F13" s="17" t="str">
        <x:v>+ / niedrig</x:v>
      </x:c>
      <x:c r="G13" s="17" t="str">
        <x:v>+ / mittel</x:v>
      </x:c>
      <x:c r="H13" s="17" t="str">
        <x:v>IEC 61508-2, Anmerkung 1 zu 7.9.2.8; Tabelle B.5, Nr. 7</x:v>
      </x:c>
      <x:c r="I13" s="20" t="str"/>
    </x:row>
    <x:row r="14" ht="135.10000610351562" customHeight="1">
      <x:c r="A14" s="18" t="str">
        <x:v>B.5/8</x:v>
      </x:c>
      <x:c r="B14" s="17" t="str">
        <x:v>Simulation und Ausfallanalyse</x:v>
      </x:c>
      <x:c r="C14" s="17" t="str">
        <x:v>Simulation untersucht das Verhalten eines rechnergestützten Modells vor oder ergänzend zur realen Prüfung. Sie unterstützt die Überprüfung funktionaler Abläufe und der Dimensionierung an Bauteil- und Umgebungsgrenzen. Modellannahmen, Parameter und Abweichungen zum realen System müssen dokumentiert und bewertet werden.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4" s="17" t="str">
        <x:v>B.3.6 / B.6.6</x:v>
      </x:c>
      <x:c r="E14" s="17" t="str">
        <x:v>o / niedrig</x:v>
      </x:c>
      <x:c r="F14" s="17" t="str">
        <x:v>+ / niedrig</x:v>
      </x:c>
      <x:c r="G14" s="17" t="str">
        <x:v>+ / mittel</x:v>
      </x:c>
      <x:c r="H14" s="17" t="str">
        <x:v>IEC 61508-2, Anmerkung 1 zu 7.9.2.8; Tabelle B.5, Nr. 8</x:v>
      </x:c>
      <x:c r="I14" s="20" t="str"/>
    </x:row>
    <x:row r="15" ht="188.74000549316406" customHeight="1">
      <x:c r="A15" s="18" t="str">
        <x:v>B.5/9</x:v>
      </x:c>
      <x:c r="B15" s="17" t="str">
        <x:v>Worst-Case-, dynamische und Ausfallanalyse</x:v>
      </x:c>
      <x:c r="C15" s="17" t="str">
        <x:v>Die Worst-Case-Analyse untersucht ungünstige Kombinationen von Toleranzen, Alterung und Umgebungsbedingungen. Berechnung oder Prüfung muss zeigen, dass spezifizierte Grenzwerte auch in diesen Kombinationen eingehalten werden. Korrelationen, Verteilungen und begründete Ausschlüsse sind transparent zu dokumentieren. Die dynamische Analyse untersucht einen ausführbaren oder prototypischen Systemstand mit repräsentativen Eingaben. Beobachtetes Zeit- und Funktionsverhalten wird mit den festgelegten Anforderungen verglichen. Fehler werden korrigiert und die betroffenen Prüfungen einschließlich Regression wiederholt.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5" s="17" t="str">
        <x:v>B.6.7 / B.6.5 / B.6.6</x:v>
      </x:c>
      <x:c r="E15" s="17" t="str">
        <x:v>o / niedrig</x:v>
      </x:c>
      <x:c r="F15" s="17" t="str">
        <x:v>o / niedrig</x:v>
      </x:c>
      <x:c r="G15" s="17" t="str">
        <x:v>+ / mittel</x:v>
      </x:c>
      <x:c r="H15" s="17" t="str">
        <x:v>IEC 61508-2, Anmerkung 1 zu 7.9.2.8; Tabelle B.5, Nr. 9</x:v>
      </x:c>
      <x:c r="I15" s="20" t="str"/>
    </x:row>
    <x:row r="16" ht="136.72000122070312" customHeight="1">
      <x:c r="A16" s="18" t="str">
        <x:v>B.5/10</x:v>
      </x:c>
      <x:c r="B16" s="17" t="str">
        <x:v>Statische Analyse und Ausfallanalyse</x:v>
      </x:c>
      <x:c r="C16" s="17" t="str">
        <x:v>Die statische Analyse prüft nichtausgeführte Artefakte systematisch und reproduzierbar auf definierte Eigenschaften. Vollständigkeit, Konsistenz und Eindeutigkeit werden gegen Regeln, Spezifikationen und Datenblätter bewertet. Feststellungen müssen rückverfolgbar dokumentiert und vor Freigabe geschlossen oder begründet werden.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6" s="17" t="str">
        <x:v>B.6.4 / B.6.6</x:v>
      </x:c>
      <x:c r="E16" s="17" t="str">
        <x:v>+ / niedrig</x:v>
      </x:c>
      <x:c r="F16" s="17" t="str">
        <x:v>+ / niedrig</x:v>
      </x:c>
      <x:c r="G16" s="17" t="str">
        <x:v>--</x:v>
      </x:c>
      <x:c r="H16" s="17" t="str">
        <x:v>IEC 61508-2, Anmerkung 1 zu 7.9.2.8; Tabelle B.5, Nr. 10</x:v>
      </x:c>
      <x:c r="I16" s="20" t="str"/>
    </x:row>
    <x:row r="17" ht="100" customHeight="1">
      <x:c r="A17" s="18" t="str">
        <x:v>B.5/11</x:v>
      </x:c>
      <x:c r="B17" s="17" t="str">
        <x:v>Erweiterter Funktionstest</x:v>
      </x:c>
      <x:c r="C17" s="17" t="str">
        <x:v>Der erweiterte Funktionstest ergänzt normale Testfälle um seltene, grenznahe oder außerhalb der Spezifikation liegende Eingaben. Das beobachtete Verhalten wird mit Anforderungen verglichen oder muss bei nicht spezifizierter Reaktion mindestens sicher bleiben. Testauswahl und Abdeckung sind risikobasiert zu begründen.</x:v>
      </x:c>
      <x:c r="D17" s="17" t="str">
        <x:v>B.6.8</x:v>
      </x:c>
      <x:c r="E17" s="17" t="str">
        <x:v>o / niedrig</x:v>
      </x:c>
      <x:c r="F17" s="17" t="str">
        <x:v>++ / niedrig</x:v>
      </x:c>
      <x:c r="G17" s="17" t="str">
        <x:v>++ / mittel</x:v>
      </x:c>
      <x:c r="H17" s="17" t="str">
        <x:v>IEC 61508-2, Anmerkung 1 zu 7.9.2.8; Tabelle B.5, Nr. 11</x:v>
      </x:c>
      <x:c r="I17" s="20" t="str"/>
    </x:row>
    <x:row r="18" ht="100" customHeight="1">
      <x:c r="A18" s="18" t="str">
        <x:v>B.5/12</x:v>
      </x:c>
      <x:c r="B18" s="17" t="str">
        <x:v>Black-Box-Test</x:v>
      </x:c>
      <x:c r="C18" s="17" t="str">
        <x:v>Der Black-Box-Test prüft das äußere Verhalten ohne Nutzung interner Implementierungskenntnisse. Testdaten werden aus der Spezifikation und aus geeigneten Äquivalenzklassen abgeleitet. Damit wird unabhängig bewertet, ob Ein- und Ausgabeverhalten den festgelegten Anforderungen entsprechen.</x:v>
      </x:c>
      <x:c r="D18" s="17" t="str">
        <x:v>B.5.2</x:v>
      </x:c>
      <x:c r="E18" s="17" t="str">
        <x:v>+ / niedrig</x:v>
      </x:c>
      <x:c r="F18" s="17" t="str">
        <x:v>+ / niedrig</x:v>
      </x:c>
      <x:c r="G18" s="17" t="str">
        <x:v>+ / mittel</x:v>
      </x:c>
      <x:c r="H18" s="17" t="str">
        <x:v>IEC 61508-2, Anmerkung 1 zu 7.9.2.8; Tabelle B.5, Nr. 12</x:v>
      </x:c>
      <x:c r="I18" s="20" t="str"/>
    </x:row>
    <x:row r="19" ht="100" customHeight="1">
      <x:c r="A19" s="18" t="str">
        <x:v>B.5/13</x:v>
      </x:c>
      <x:c r="B19" s="17" t="str">
        <x:v>Test durch Fehlereinbau, DC &lt; 90 %</x:v>
      </x:c>
      <x:c r="C19" s="17" t="str">
        <x:v>Beim Test durch Fehlereinbau werden repräsentative Hardwarefehler real oder simuliert eingebracht. Die beobachtete Reaktion wird klassifiziert und mit der erwarteten Diagnose- und Sicherheitswirkung verglichen. Je nach Diagnosedeckungsgrad sind auch Kombinationen bislang unerkannter Fehler einzubeziehen.</x:v>
      </x:c>
      <x:c r="D19" s="17" t="str">
        <x:v>B.6.10</x:v>
      </x:c>
      <x:c r="E19" s="17" t="str">
        <x:v>+ / niedrig</x:v>
      </x:c>
      <x:c r="F19" s="17" t="str">
        <x:v>+ / niedrig</x:v>
      </x:c>
      <x:c r="G19" s="17" t="str">
        <x:v>+ / mittel</x:v>
      </x:c>
      <x:c r="H19" s="17" t="str">
        <x:v>IEC 61508-2, Anmerkung 1 zu 7.9.2.8; Tabelle B.5, Nr. 13</x:v>
      </x:c>
      <x:c r="I19" s="20" t="str"/>
    </x:row>
    <x:row r="20" ht="100" customHeight="1">
      <x:c r="A20" s="18" t="str">
        <x:v>B.5/14</x:v>
      </x:c>
      <x:c r="B20" s="17" t="str">
        <x:v>Statistisches Testen</x:v>
      </x:c>
      <x:c r="C20" s="17" t="str">
        <x:v>Beim statistischen Testen werden Eingaben entsprechend einem begründeten erwarteten Betriebsprofil ausgewählt. Die resultierenden Beobachtungen unterstützen Aussagen zum dynamischen Verhalten und zur Robustheit unter realistischen Nutzungsbedingungen. Stichprobe, Profil und Auswertung müssen für die beanspruchte Aussagekraft ausreichend und dokumentiert sein.</x:v>
      </x:c>
      <x:c r="D20" s="17" t="str">
        <x:v>B.5.3</x:v>
      </x:c>
      <x:c r="E20" s="17" t="str">
        <x:v>o / niedrig</x:v>
      </x:c>
      <x:c r="F20" s="17" t="str">
        <x:v>o / niedrig</x:v>
      </x:c>
      <x:c r="G20" s="17" t="str">
        <x:v>+ / mittel</x:v>
      </x:c>
      <x:c r="H20" s="17" t="str">
        <x:v>IEC 61508-2, Anmerkung 1 zu 7.9.2.8; Tabelle B.5, Nr. 14</x:v>
      </x:c>
      <x:c r="I20" s="20" t="str"/>
    </x:row>
    <x:row r="21" ht="100" customHeight="1">
      <x:c r="A21" s="18" t="str">
        <x:v>B.5/15</x:v>
      </x:c>
      <x:c r="B21" s="17" t="str">
        <x:v>Grenzwerttests</x:v>
      </x:c>
      <x:c r="C21" s="17" t="str">
        <x:v>Grenzwerttests führen Fälle an den maximal zulässigen Betriebs- und Umgebungsgrenzen aus. Sie prüfen, ob Übergänge, Toleranzen und Sicherheitsreaktionen an den Spezifikationsrändern beherrscht werden. Die gewählten Grenzen und Messunsicherheiten sind nachvollziehbar festzulegen.</x:v>
      </x:c>
      <x:c r="D21" s="17" t="str">
        <x:v>B.6.9</x:v>
      </x:c>
      <x:c r="E21" s="17" t="str">
        <x:v>o / niedrig</x:v>
      </x:c>
      <x:c r="F21" s="17" t="str">
        <x:v>o / niedrig</x:v>
      </x:c>
      <x:c r="G21" s="17" t="str">
        <x:v>+ / mittel</x:v>
      </x:c>
      <x:c r="H21" s="17" t="str">
        <x:v>IEC 61508-2, Anmerkung 1 zu 7.9.2.8; Tabelle B.5, Nr. 15</x:v>
      </x:c>
      <x:c r="I21" s="20" t="str"/>
    </x:row>
    <x:row r="22" ht="100" customHeight="1">
      <x:c r="A22" s="18" t="str">
        <x:v>B.5/16</x:v>
      </x:c>
      <x:c r="B22" s="17" t="str">
        <x:v>Felderfahrung</x:v>
      </x:c>
      <x:c r="C22" s="17" t="str">
        <x:v>Felderfahrung stützt sich auf unveränderte Elemente oder Teilsysteme mit langer und breiter Nutzung bei geringer Fehlerhäufigkeit. Es ist nachzuweisen, dass die tatsächlich benötigten Funktionen unter vergleichbaren Bedingungen ausreichend ausgeübt wurden. Änderungen von Konfiguration, Umgebung oder Betriebsprofil erfordern eine Übertragbarkeits- und Einflussanalyse.</x:v>
      </x:c>
      <x:c r="D22" s="17" t="str">
        <x:v>B.5.4</x:v>
      </x:c>
      <x:c r="E22" s="17" t="str">
        <x:v>+ / niedrig</x:v>
      </x:c>
      <x:c r="F22" s="17" t="str">
        <x:v>+ / niedrig</x:v>
      </x:c>
      <x:c r="G22" s="17" t="str">
        <x:v>+ / mittel</x:v>
      </x:c>
      <x:c r="H22" s="17" t="str">
        <x:v>IEC 61508-2, Anmerkung 1 zu 7.9.2.8; Tabelle B.5, Nr. 16</x:v>
      </x:c>
      <x:c r="I22" s="20" t="str"/>
    </x:row>
    <x:row r="24" ht="52" customHeight="1">
      <x:c r="A24" s="56" t="str">
        <x:v>Hinweis: ++ = dringend empfohlen, + = empfohlen, o = keine Empfehlung für oder gegen, -- = ausdrücklich nicht empfohlen. Verbindliche Einträge und Gruppenregeln der jeweiligen Tabelle sind zusätzlich zu beachten. SIL 4 ist entsprechend der vereinbarten Prüftiefe nicht dargestellt.</x:v>
      </x:c>
      <x:c r="B24" s="56"/>
      <x:c r="C24" s="56"/>
      <x:c r="D24" s="56"/>
      <x:c r="E24" s="56"/>
      <x:c r="F24" s="56"/>
      <x:c r="G24" s="56"/>
      <x:c r="H24" s="56"/>
      <x:c r="I24" s="56"/>
    </x:row>
  </x:sheetData>
  <x:mergeCells>
    <x:mergeCell ref="A1:I2"/>
    <x:mergeCell ref="A3:I3"/>
    <x:mergeCell ref="A5:I5"/>
    <x:mergeCell ref="A24:I24"/>
  </x:mergeCells>
  <x:pageMargins left="0.7" right="0.7" top="0.75" bottom="0.75" header="0.3" footer="0.3"/>
</x:worksheet>
</file>