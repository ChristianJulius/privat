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53e4167738451f" /></Relationships>
</file>

<file path=xl/workbook.xml><?xml version="1.0" encoding="utf-8"?>
<x:workbook xmlns:x="http://schemas.openxmlformats.org/spreadsheetml/2006/main">
  <x:sheets>
    <x:sheet xmlns:r="http://schemas.openxmlformats.org/officeDocument/2006/relationships" name="Übersicht" sheetId="1" r:id="R8261cde256314da9"/>
    <x:sheet xmlns:r="http://schemas.openxmlformats.org/officeDocument/2006/relationships" name="Review 7.1" sheetId="2" r:id="R7a218a1727ac47f8"/>
    <x:sheet xmlns:r="http://schemas.openxmlformats.org/officeDocument/2006/relationships" name="Eingabe- &amp; Ausgabe" sheetId="3" r:id="R3731373008d84b50"/>
    <x:sheet xmlns:r="http://schemas.openxmlformats.org/officeDocument/2006/relationships" name="Maßnahmen" sheetId="4" r:id="Rb7a88e05beef498f"/>
    <x:sheet xmlns:r="http://schemas.openxmlformats.org/officeDocument/2006/relationships" name="Legende &amp; Hinweise" sheetId="6" r:id="Rc66030d28826466e"/>
    <x:sheet xmlns:r="http://schemas.openxmlformats.org/officeDocument/2006/relationships" name="Unterschriften" sheetId="7" r:id="Rc52581b945cd4c04"/>
    <x:sheet xmlns:r="http://schemas.openxmlformats.org/officeDocument/2006/relationships" name="Phasenübersicht" sheetId="8" r:id="Re01dd97b13204296"/>
  </x:sheets>
</x:workbook>
</file>

<file path=xl/sharedStrings.xml><?xml version="1.0" encoding="utf-8"?>
<x:sst xmlns:x="http://schemas.openxmlformats.org/spreadsheetml/2006/main">
  <x:si>
    <x:t xml:space="preserve">Reviewdaten</x:t>
  </x:si>
  <x:si>
    <x:t xml:space="preserve">Projekt / Teilprojekt</x:t>
  </x:si>
  <x:si>
    <x:t xml:space="preserve">Review-Gegenstand</x:t>
  </x:si>
  <x:si>
    <x:t xml:space="preserve">Dokument / Referenz</x:t>
  </x:si>
  <x:si>
    <x:t xml:space="preserve">Index</x:t>
  </x:si>
  <x:si>
    <x:t xml:space="preserve">SIL</x:t>
  </x:si>
  <x:si>
    <x:t xml:space="preserve">Checkliste</x:t>
  </x:si>
  <x:si>
    <x:t xml:space="preserve">Ort</x:t>
  </x:si>
  <x:si>
    <x:t xml:space="preserve">Datum / Zeitraum</x:t>
  </x:si>
  <x:si>
    <x:t xml:space="preserve">Reviewleitung</x:t>
  </x:si>
  <x:si>
    <x:t xml:space="preserve">Protokollführung</x:t>
  </x:si>
  <x:si>
    <x:t xml:space="preserve">Teilnehmer</x:t>
  </x:si>
  <x:si>
    <x:t xml:space="preserve">Teilnehmer 1</x:t>
  </x:si>
  <x:si>
    <x:t xml:space="preserve">Teilnehmer 2</x:t>
  </x:si>
  <x:si>
    <x:t xml:space="preserve">Teilnehmer 3</x:t>
  </x:si>
  <x:si>
    <x:t xml:space="preserve">Teilnehmer 4</x:t>
  </x:si>
  <x:si>
    <x:t xml:space="preserve">Fortschritt und Review-Ergebnis</x:t>
  </x:si>
  <x:si>
    <x:t xml:space="preserve">Prüfpunkte</x:t>
  </x:si>
  <x:si>
    <x:t xml:space="preserve">OK</x:t>
  </x:si>
  <x:si>
    <x:t xml:space="preserve">Nicht OK</x:t>
  </x:si>
  <x:si>
    <x:t xml:space="preserve">Nicht geprüft</x:t>
  </x:si>
  <x:si>
    <x:t xml:space="preserve">Abschluss</x:t>
  </x:si>
  <x:si>
    <x:t xml:space="preserve">Gesamtergebnis</x:t>
  </x:si>
  <x:si>
    <x:t xml:space="preserve">Ergebnis / Begründung</x:t>
  </x:si>
  <x:si>
    <x:t xml:space="preserve">Zusammenfassung</x:t>
  </x:si>
  <x:si>
    <x:t xml:space="preserve">Review-Ergebnisse und durchzuführende Maßnahmen</x:t>
  </x:si>
  <x:si>
    <x:t xml:space="preserve">A = Aufgabe · I = Information · B = Beschluss. Der Bezug zum Prüfpunkt ermöglicht die direkte Rückverfolgung.</x:t>
  </x:si>
  <x:si>
    <x:t xml:space="preserve">ID</x:t>
  </x:si>
  <x:si>
    <x:t xml:space="preserve">Typ</x:t>
  </x:si>
  <x:si>
    <x:t xml:space="preserve">Review-Ergebnis / Maßnahme</x:t>
  </x:si>
  <x:si>
    <x:t xml:space="preserve">Bezug Prüfpunkt</x:t>
  </x:si>
  <x:si>
    <x:t xml:space="preserve">Verantwortlich</x:t>
  </x:si>
  <x:si>
    <x:t xml:space="preserve">Fällig am</x:t>
  </x:si>
  <x:si>
    <x:t xml:space="preserve">Status</x:t>
  </x:si>
  <x:si>
    <x:t xml:space="preserve">M-01</x:t>
  </x:si>
  <x:si>
    <x:t xml:space="preserve">Offen</x:t>
  </x:si>
  <x:si>
    <x:t xml:space="preserve">M-02</x:t>
  </x:si>
  <x:si>
    <x:t xml:space="preserve">M-03</x:t>
  </x:si>
  <x:si>
    <x:t xml:space="preserve">M-04</x:t>
  </x:si>
  <x:si>
    <x:t xml:space="preserve">M-05</x:t>
  </x:si>
  <x:si>
    <x:t xml:space="preserve">M-06</x:t>
  </x:si>
  <x:si>
    <x:t xml:space="preserve">M-07</x:t>
  </x:si>
  <x:si>
    <x:t xml:space="preserve">M-08</x:t>
  </x:si>
  <x:si>
    <x:t xml:space="preserve">M-09</x:t>
  </x:si>
  <x:si>
    <x:t xml:space="preserve">M-10</x:t>
  </x:si>
  <x:si>
    <x:t xml:space="preserve">M-11</x:t>
  </x:si>
  <x:si>
    <x:t xml:space="preserve">M-12</x:t>
  </x:si>
  <x:si>
    <x:t xml:space="preserve">M-13</x:t>
  </x:si>
  <x:si>
    <x:t xml:space="preserve">M-14</x:t>
  </x:si>
  <x:si>
    <x:t xml:space="preserve">M-15</x:t>
  </x:si>
  <x:si>
    <x:t xml:space="preserve">M-16</x:t>
  </x:si>
  <x:si>
    <x:t xml:space="preserve">M-17</x:t>
  </x:si>
  <x:si>
    <x:t xml:space="preserve">M-18</x:t>
  </x:si>
  <x:si>
    <x:t xml:space="preserve">M-19</x:t>
  </x:si>
  <x:si>
    <x:t xml:space="preserve">M-20</x:t>
  </x:si>
  <x:si>
    <x:t xml:space="preserve">Legende und Anwendungshinweise</x:t>
  </x:si>
  <x:si>
    <x:t xml:space="preserve">Empfehlungsgrade nach IEC 61508</x:t>
  </x:si>
  <x:si>
    <x:t xml:space="preserve">Arbeitsweise</x:t>
  </x:si>
  <x:si>
    <x:t xml:space="preserve">Schritt</x:t>
  </x:si>
  <x:si>
    <x:t xml:space="preserve">Vorgehen</x:t>
  </x:si>
  <x:si>
    <x:t xml:space="preserve">Dokumentation</x:t>
  </x:si>
  <x:si>
    <x:t xml:space="preserve">Hinweis</x:t>
  </x:si>
  <x:si>
    <x:t xml:space="preserve">1</x:t>
  </x:si>
  <x:si>
    <x:t xml:space="preserve">Reviewdaten auf dem Blatt „Übersicht“ ausfüllen.</x:t>
  </x:si>
  <x:si>
    <x:t xml:space="preserve">Projekt, Dokument, SIL, Teilnehmer und Termin erfassen.</x:t>
  </x:si>
  <x:si>
    <x:t xml:space="preserve">Gelbe Zellen sind Eingabefelder.</x:t>
  </x:si>
  <x:si>
    <x:t xml:space="preserve">7</x:t>
  </x:si>
  <x:si>
    <x:t xml:space="preserve">Teilnehmer auf „Unterschriften“ dokumentieren.</x:t>
  </x:si>
  <x:si>
    <x:t xml:space="preserve">Name, Funktion, Datum und Bestätigung eintragen.</x:t>
  </x:si>
  <x:si>
    <x:t xml:space="preserve">Kann digital oder nach Ausdruck verwendet werden.</x:t>
  </x:si>
  <x:si>
    <x:t xml:space="preserve">Quelle: IEC61508-3_Kap_7.3_Reviewprotokoll_Endfassung_2026-08-05.docx</x:t>
  </x:si>
  <x:si>
    <x:t xml:space="preserve">Anhang Formblatt Unterschriften</x:t>
  </x:si>
  <x:si>
    <x:t xml:space="preserve">Name, Vorname, Abteilung, Funktion</x:t>
  </x:si>
  <x:si>
    <x:t xml:space="preserve">Datum</x:t>
  </x:si>
  <x:si>
    <x:t xml:space="preserve">Unterschrift / Bestätigung</x:t>
  </x:si>
</x:sst>
</file>

<file path=xl/styles.xml><?xml version="1.0" encoding="utf-8"?>
<x:styleSheet xmlns:x="http://schemas.openxmlformats.org/spreadsheetml/2006/main">
  <x:numFmts count="1">
    <x:numFmt numFmtId="164" formatCode="dd\.mm\.yyyy"/>
  </x:numFmts>
  <x:fonts count="17">
    <x:font>
      <x:sz val="11"/>
      <x:name val="Carlito"/>
    </x:font>
    <x:font>
      <x:sz val="10"/>
      <x:color rgb="FF222222"/>
      <x:name val="Aptos"/>
    </x:font>
    <x:font>
      <x:b/>
      <x:sz val="18"/>
      <x:color rgb="FFFFFFFF"/>
      <x:name val="Aptos Display"/>
    </x:font>
    <x:font>
      <x:i/>
      <x:sz val="10"/>
      <x:color rgb="FF17365D"/>
      <x:name val="Aptos"/>
    </x:font>
    <x:font>
      <x:b/>
      <x:sz val="11"/>
      <x:color rgb="FFFFFFFF"/>
      <x:name val="Aptos"/>
    </x:font>
    <x:font>
      <x:b/>
      <x:sz val="10"/>
      <x:color rgb="FF17365D"/>
      <x:name val="Aptos"/>
    </x:font>
    <x:font>
      <x:b/>
      <x:sz val="10"/>
      <x:color rgb="FFFFFFFF"/>
      <x:name val="Aptos"/>
    </x:font>
    <x:font>
      <x:b/>
      <x:sz val="14"/>
      <x:color rgb="FF17365D"/>
      <x:name val="Aptos"/>
    </x:font>
    <x:font>
      <x:b/>
      <x:sz val="11"/>
      <x:color rgb="FF17365D"/>
      <x:name val="Aptos"/>
    </x:font>
    <x:font>
      <x:b/>
      <x:sz val="12"/>
      <x:color rgb="FF17365D"/>
      <x:name val="Aptos"/>
    </x:font>
    <x:font>
      <x:i/>
      <x:sz val="9"/>
      <x:color rgb="FF595959"/>
      <x:name val="Aptos"/>
    </x:font>
    <x:font>
      <x:sz val="11"/>
      <x:name val="Carlito"/>
    </x:font>
    <x:font>
      <x:b/>
      <x:sz val="11"/>
      <x:color rgb="FFFFFFFF"/>
      <x:name val="Aptos Display"/>
    </x:font>
    <x:font>
      <x:i/>
      <x:sz val="11"/>
      <x:color rgb="FF17365D"/>
      <x:name val="Aptos"/>
    </x:font>
    <x:font>
      <x:sz val="11"/>
      <x:color rgb="FF222222"/>
      <x:name val="Aptos"/>
    </x:font>
    <x:font>
      <x:i/>
      <x:sz val="11"/>
      <x:color rgb="FF595959"/>
      <x:name val="Aptos"/>
    </x:font>
    <x:font>
      <x:sz val="11"/>
      <x:name val="Aptos"/>
    </x:font>
  </x:fonts>
  <x:fills count="2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EAF3F8"/>
      </x:patternFill>
    </x:fill>
    <x:fill>
      <x:patternFill patternType="solid">
        <x:fgColor rgb="FFFFF2CC"/>
      </x:patternFill>
    </x:fill>
    <x:fill>
      <x:patternFill patternType="solid">
        <x:fgColor rgb="FF5B9BD5"/>
      </x:patternFill>
    </x:fill>
    <x:fill>
      <x:patternFill patternType="solid">
        <x:fgColor rgb="FFFFFFFF"/>
      </x:patternFill>
    </x:fill>
    <x:fill>
      <x:patternFill patternType="solid">
        <x:fgColor rgb="FFE7E6E6"/>
      </x:patternFill>
    </x:fill>
    <x:fill>
      <x:patternFill patternType="solid">
        <x:fgColor rgb="FFFFFFFF"/>
      </x:patternFill>
    </x:fill>
    <x:fill>
      <x:patternFill patternType="solid">
        <x:fgColor rgb="FFFFF2CC"/>
      </x:patternFill>
    </x:fill>
    <x:fill>
      <x:patternFill patternType="solid">
        <x:fgColor rgb="FFEAF3F8"/>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0F6B86"/>
      </x:patternFill>
    </x:fill>
    <x:fill>
      <x:patternFill patternType="solid">
        <x:fgColor rgb="FFEAF3F8"/>
      </x:patternFill>
    </x:fill>
    <x:fill>
      <x:patternFill patternType="solid">
        <x:fgColor rgb="FFFFFFFF"/>
      </x:patternFill>
    </x:fill>
    <x:fill>
      <x:patternFill patternType="solid">
        <x:fgColor rgb="FFFFF2CC"/>
      </x:patternFill>
    </x:fill>
    <x:fill>
      <x:patternFill patternType="solid">
        <x:fgColor rgb="FFE7E6E6"/>
      </x:patternFill>
    </x:fill>
    <x:fill>
      <x:patternFill patternType="solid">
        <x:fgColor rgb="FF0F6B86"/>
      </x:patternFill>
    </x:fill>
    <x:fill>
      <x:patternFill patternType="solid">
        <x:fgColor rgb="FFEAF3F8"/>
      </x:patternFill>
    </x:fill>
    <x:fill>
      <x:patternFill patternType="solid">
        <x:fgColor rgb="FFFFFFFF"/>
      </x:patternFill>
    </x:fill>
    <x:fill>
      <x:patternFill patternType="solid">
        <x:fgColor rgb="FFFFF2CC"/>
      </x:patternFill>
    </x:fill>
    <x:fill>
      <x:patternFill patternType="solid">
        <x:fgColor rgb="FFE7E6E6"/>
      </x:patternFill>
    </x:fill>
  </x:fills>
  <x:borders count="3">
    <x:border/>
    <x:border>
      <x:left style="thin">
        <x:color rgb="FFB4C6D7"/>
      </x:left>
      <x:right style="thin">
        <x:color rgb="FFB4C6D7"/>
      </x:right>
      <x:top style="thin">
        <x:color rgb="FFB4C6D7"/>
      </x:top>
      <x:bottom style="thin">
        <x:color rgb="FFB4C6D7"/>
      </x:bottom>
    </x:border>
    <x:border>
      <x:left style="thin">
        <x:color rgb="FFFFFFFF"/>
      </x:left>
      <x:right style="thin">
        <x:color rgb="FFFFFFFF"/>
      </x:right>
      <x:top style="thin">
        <x:color rgb="FFFFFFFF"/>
      </x:top>
      <x:bottom style="thin">
        <x:color rgb="FFFFFFFF"/>
      </x:bottom>
    </x:border>
  </x:borders>
  <x:cellStyleXfs count="2">
    <x:xf numFmtId="0" fontId="0" fillId="0" borderId="0"/>
    <x:xf numFmtId="0" fontId="11" fillId="0" borderId="0"/>
  </x:cellStyleXfs>
  <x:cellXfs count="108">
    <x:xf numFmtId="0" fontId="0" fillId="0" borderId="0" xfId="0"/>
    <x:xf numFmtId="0" fontId="1" fillId="0" borderId="0" xfId="1" applyFont="1" applyAlignment="1">
      <x:alignment vertical="top"/>
    </x:xf>
    <x:xf numFmtId="0" fontId="5" fillId="5" borderId="1" xfId="1" applyFont="1" applyFill="1" applyBorder="1" applyAlignment="1">
      <x:alignment vertical="center"/>
    </x:xf>
    <x:xf numFmtId="0" fontId="1" fillId="6" borderId="1" xfId="1" applyFont="1" applyFill="1" applyBorder="1" applyAlignment="1">
      <x:alignment vertical="top" wrapText="1"/>
    </x:xf>
    <x:xf numFmtId="164" fontId="1" fillId="6" borderId="1" xfId="1" applyNumberFormat="1" applyFont="1" applyFill="1" applyBorder="1" applyAlignment="1">
      <x:alignment vertical="top" wrapText="1"/>
    </x:xf>
    <x:xf numFmtId="0" fontId="6" fillId="7" borderId="2" xfId="1" applyFont="1" applyFill="1" applyBorder="1" applyAlignment="1">
      <x:alignment horizontal="center" vertical="center"/>
    </x:xf>
    <x:xf numFmtId="0" fontId="7" fillId="5" borderId="1" xfId="1" applyFont="1" applyFill="1" applyBorder="1" applyAlignment="1">
      <x:alignment horizontal="center" vertical="center"/>
    </x:xf>
    <x:xf numFmtId="9" fontId="7" fillId="5" borderId="1" xfId="1" applyNumberFormat="1" applyFont="1" applyFill="1" applyBorder="1" applyAlignment="1">
      <x:alignment horizontal="center" vertical="center"/>
    </x:xf>
    <x:xf numFmtId="0" fontId="4" fillId="4" borderId="2" xfId="1" applyFont="1" applyFill="1" applyBorder="1" applyAlignment="1">
      <x:alignment vertical="center"/>
    </x:xf>
    <x:xf numFmtId="0" fontId="1" fillId="0" borderId="0" xfId="1" applyFont="1" applyAlignment="1">
      <x:alignment vertical="top" wrapText="1"/>
    </x:xf>
    <x:xf numFmtId="0" fontId="1" fillId="0" borderId="1" xfId="1" applyFont="1" applyBorder="1" applyAlignment="1">
      <x:alignment vertical="top" wrapText="1"/>
    </x:xf>
    <x:xf numFmtId="0" fontId="1" fillId="8" borderId="1" xfId="1" applyFont="1" applyFill="1" applyBorder="1" applyAlignment="1">
      <x:alignment vertical="top" wrapText="1"/>
    </x:xf>
    <x:xf numFmtId="0" fontId="1" fillId="5" borderId="1" xfId="1" applyFont="1" applyFill="1" applyBorder="1" applyAlignment="1">
      <x:alignment vertical="top" wrapText="1"/>
    </x:xf>
    <x:xf numFmtId="0" fontId="1" fillId="8" borderId="1" xfId="1" applyFont="1" applyFill="1" applyBorder="1" applyAlignment="1">
      <x:alignment horizontal="center" vertical="top" wrapText="1"/>
    </x:xf>
    <x:xf numFmtId="0" fontId="1" fillId="6" borderId="1" xfId="1" applyFont="1" applyFill="1" applyBorder="1" applyAlignment="1">
      <x:alignment horizontal="center" vertical="top" wrapText="1"/>
    </x:xf>
    <x:xf numFmtId="0" fontId="8" fillId="5" borderId="1" xfId="1" applyFont="1" applyFill="1" applyBorder="1" applyAlignment="1">
      <x:alignment horizontal="center" vertical="center"/>
    </x:xf>
    <x:xf numFmtId="0" fontId="9" fillId="0" borderId="0" xfId="1" applyFont="1" applyAlignment="1">
      <x:alignment horizontal="center" vertical="top" wrapText="1"/>
    </x:xf>
    <x:xf numFmtId="0" fontId="1" fillId="10" borderId="1" xfId="1" applyFont="1" applyFill="1" applyBorder="1" applyAlignment="1">
      <x:alignment horizontal="center" vertical="top" wrapText="1"/>
    </x:xf>
    <x:xf numFmtId="0" fontId="1" fillId="10" borderId="1" xfId="1" applyFont="1" applyFill="1" applyBorder="1" applyAlignment="1">
      <x:alignment vertical="top" wrapText="1"/>
    </x:xf>
    <x:xf numFmtId="0" fontId="1" fillId="11" borderId="1" xfId="1" applyFont="1" applyFill="1" applyBorder="1" applyAlignment="1">
      <x:alignment vertical="top" wrapText="1"/>
    </x:xf>
    <x:xf numFmtId="0" fontId="1" fillId="12" borderId="1" xfId="1" applyFont="1" applyFill="1" applyBorder="1" applyAlignment="1">
      <x:alignment vertical="top" wrapText="1"/>
    </x:xf>
    <x:xf numFmtId="0" fontId="1" fillId="11" borderId="1" xfId="1" applyFont="1" applyFill="1" applyBorder="1" applyAlignment="1">
      <x:alignment horizontal="center" vertical="top" wrapText="1"/>
    </x:xf>
    <x:xf numFmtId="0" fontId="2" fillId="2" borderId="0" xfId="1" applyFont="1" applyFill="1" applyAlignment="1">
      <x:alignment horizontal="left" vertical="center"/>
    </x:xf>
    <x:xf numFmtId="0" fontId="3" fillId="3" borderId="0" xfId="1" applyFont="1" applyFill="1" applyAlignment="1">
      <x:alignment vertical="center"/>
    </x:xf>
    <x:xf numFmtId="0" fontId="4" fillId="4" borderId="0" xfId="1" applyFont="1" applyFill="1" applyAlignment="1">
      <x:alignment vertical="center"/>
    </x:xf>
    <x:xf numFmtId="0" fontId="1" fillId="6" borderId="1" xfId="1" applyFont="1" applyFill="1" applyBorder="1" applyAlignment="1">
      <x:alignment vertical="top" wrapText="1"/>
    </x:xf>
    <x:xf numFmtId="164" fontId="1" fillId="6" borderId="1" xfId="1" applyNumberFormat="1" applyFont="1" applyFill="1" applyBorder="1" applyAlignment="1">
      <x:alignment vertical="top" wrapText="1"/>
    </x:xf>
    <x:xf numFmtId="0" fontId="3" fillId="3" borderId="0" xfId="1" applyFont="1" applyFill="1" applyAlignment="1">
      <x:alignment vertical="center" wrapText="1"/>
    </x:xf>
    <x:xf numFmtId="0" fontId="3" fillId="3" borderId="0" xfId="1" applyFont="1" applyFill="1" applyAlignment="1">
      <x:alignment vertical="top"/>
    </x:xf>
    <x:xf numFmtId="0" fontId="10" fillId="9" borderId="0" xfId="1" applyFont="1" applyFill="1" applyAlignment="1">
      <x:alignment vertical="top"/>
    </x:xf>
    <x:xf numFmtId="0" fontId="4" fillId="4" borderId="0" xfId="0" applyNumberFormat="1" applyFont="1" applyFill="1" applyBorder="1" applyAlignment="1">
      <x:alignment vertical="center"/>
    </x:xf>
    <x:xf numFmtId="0" fontId="5" fillId="5" borderId="1" xfId="0" applyNumberFormat="1" applyFont="1" applyFill="1" applyBorder="1" applyAlignment="1">
      <x:alignment vertical="center"/>
    </x:xf>
    <x:xf numFmtId="0" fontId="1" fillId="6" borderId="1" xfId="0" applyNumberFormat="1" applyFont="1" applyFill="1" applyBorder="1" applyAlignment="1">
      <x:alignment vertical="top" wrapText="1"/>
    </x:xf>
    <x:xf numFmtId="164" fontId="1" fillId="6" borderId="1" xfId="0" applyNumberFormat="1" applyFont="1" applyFill="1" applyBorder="1" applyAlignment="1">
      <x:alignment vertical="top" wrapText="1"/>
    </x:xf>
    <x:xf numFmtId="0" fontId="1" fillId="0" borderId="0" xfId="0" applyNumberFormat="1" applyFont="1" applyFill="1" applyBorder="1" applyAlignment="1">
      <x:alignment vertical="top"/>
    </x:xf>
    <x:xf numFmtId="0" fontId="6" fillId="7" borderId="2" xfId="0" applyNumberFormat="1" applyFont="1" applyFill="1" applyBorder="1" applyAlignment="1">
      <x:alignment horizontal="center" vertical="center"/>
    </x:xf>
    <x:xf numFmtId="0" fontId="7" fillId="5" borderId="1" xfId="0" applyNumberFormat="1" applyFont="1" applyFill="1" applyBorder="1" applyAlignment="1">
      <x:alignment horizontal="center" vertical="center"/>
    </x:xf>
    <x:xf numFmtId="9" fontId="7" fillId="5" borderId="1" xfId="0" applyNumberFormat="1" applyFont="1" applyFill="1" applyBorder="1" applyAlignment="1">
      <x:alignment horizontal="center" vertical="center"/>
    </x:xf>
    <x:xf numFmtId="0" fontId="4" fillId="4" borderId="2" xfId="0" applyNumberFormat="1" applyFont="1" applyFill="1" applyBorder="1" applyAlignment="1">
      <x:alignment vertical="center"/>
    </x:xf>
    <x:xf numFmtId="0" fontId="1" fillId="0" borderId="1" xfId="0" applyNumberFormat="1" applyFont="1" applyFill="1" applyBorder="1" applyAlignment="1">
      <x:alignment vertical="top" wrapText="1"/>
    </x:xf>
    <x:xf numFmtId="0" fontId="1" fillId="8" borderId="1" xfId="0" applyNumberFormat="1" applyFont="1" applyFill="1" applyBorder="1" applyAlignment="1">
      <x:alignment horizontal="center" vertical="top" wrapText="1"/>
    </x:xf>
    <x:xf numFmtId="0" fontId="1" fillId="8" borderId="1"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1" fillId="6" borderId="1" xfId="0" applyNumberFormat="1" applyFont="1" applyFill="1" applyBorder="1" applyAlignment="1">
      <x:alignment horizontal="center" vertical="top" wrapText="1"/>
    </x:xf>
    <x:xf numFmtId="0" fontId="8" fillId="5" borderId="1" xfId="0" applyNumberFormat="1" applyFont="1" applyFill="1" applyBorder="1" applyAlignment="1">
      <x:alignment horizontal="center" vertical="center"/>
    </x:xf>
    <x:xf numFmtId="0" fontId="1" fillId="0" borderId="0" xfId="0" applyNumberFormat="1" applyFont="1" applyFill="1" applyBorder="1" applyAlignment="1">
      <x:alignment vertical="top" wrapText="1"/>
    </x:xf>
    <x:xf numFmtId="0" fontId="9" fillId="0" borderId="0" xfId="0" applyNumberFormat="1" applyFont="1" applyFill="1" applyBorder="1" applyAlignment="1">
      <x:alignment horizontal="center" vertical="top" wrapText="1"/>
    </x:xf>
    <x:xf numFmtId="0" fontId="10" fillId="9" borderId="0" xfId="0" applyNumberFormat="1" applyFont="1" applyFill="1" applyBorder="1" applyAlignment="1">
      <x:alignment vertical="top"/>
    </x:xf>
    <x:xf numFmtId="0" fontId="2" fillId="2" borderId="0" xfId="0" applyNumberFormat="1" applyFont="1" applyFill="1" applyBorder="1" applyAlignment="1">
      <x:alignment horizontal="left" vertical="center" wrapText="1"/>
    </x:xf>
    <x:xf numFmtId="0" fontId="4" fillId="4" borderId="0" xfId="0" applyNumberFormat="1" applyFont="1" applyFill="1" applyBorder="1" applyAlignment="1">
      <x:alignment vertical="center" wrapText="1"/>
    </x:xf>
    <x:xf numFmtId="0" fontId="10" fillId="9" borderId="0" xfId="0" applyNumberFormat="1" applyFont="1" applyFill="1" applyBorder="1" applyAlignment="1">
      <x:alignment vertical="top" wrapText="1"/>
    </x:xf>
    <x:xf numFmtId="0" fontId="0" fillId="13" borderId="0" xfId="0" applyNumberFormat="1" applyFont="1" applyFill="1" applyBorder="1"/>
    <x:xf numFmtId="0" fontId="12" fillId="13" borderId="0" xfId="0" applyNumberFormat="1" applyFont="1" applyFill="1" applyBorder="1"/>
    <x:xf numFmtId="0" fontId="12" fillId="13" borderId="0" xfId="0" applyNumberFormat="1" applyFont="1" applyFill="1" applyBorder="1" applyAlignment="1">
      <x:alignment horizontal="left"/>
    </x:xf>
    <x:xf numFmtId="0" fontId="12" fillId="13" borderId="0" xfId="0" applyNumberFormat="1" applyFont="1" applyFill="1" applyBorder="1" applyAlignment="1">
      <x:alignment horizontal="left" vertical="center"/>
    </x:xf>
    <x:xf numFmtId="0" fontId="0" fillId="14" borderId="0" xfId="0" applyNumberFormat="1" applyFont="1" applyFill="1" applyBorder="1"/>
    <x:xf numFmtId="0" fontId="13" fillId="14" borderId="0" xfId="0" applyNumberFormat="1" applyFont="1" applyFill="1" applyBorder="1"/>
    <x:xf numFmtId="0" fontId="13" fillId="14" borderId="0" xfId="0" applyNumberFormat="1" applyFont="1" applyFill="1" applyBorder="1" applyAlignment="1">
      <x:alignment vertical="center"/>
    </x:xf>
    <x:xf numFmtId="0" fontId="0" fillId="15" borderId="0" xfId="0" applyNumberFormat="1" applyFont="1" applyFill="1" applyBorder="1"/>
    <x:xf numFmtId="0" fontId="4" fillId="15" borderId="0" xfId="0" applyNumberFormat="1" applyFont="1" applyFill="1" applyBorder="1"/>
    <x:xf numFmtId="0" fontId="4" fillId="15" borderId="0" xfId="0" applyNumberFormat="1" applyFont="1" applyFill="1" applyBorder="1" applyAlignment="1">
      <x:alignment vertical="center"/>
    </x:xf>
    <x:xf numFmtId="0" fontId="0" fillId="16" borderId="0" xfId="0" applyNumberFormat="1" applyFont="1" applyFill="1" applyBorder="1"/>
    <x:xf numFmtId="0" fontId="4" fillId="16" borderId="0" xfId="0" applyNumberFormat="1" applyFont="1" applyFill="1" applyBorder="1"/>
    <x:xf numFmtId="0" fontId="4" fillId="16" borderId="1" xfId="0" applyNumberFormat="1" applyFont="1" applyFill="1" applyBorder="1"/>
    <x:xf numFmtId="0" fontId="4" fillId="16" borderId="1" xfId="0" applyNumberFormat="1" applyFont="1" applyFill="1" applyBorder="1" applyAlignment="1">
      <x:alignment wrapText="1"/>
    </x:xf>
    <x:xf numFmtId="0" fontId="4" fillId="16" borderId="1" xfId="0" applyNumberFormat="1" applyFont="1" applyFill="1" applyBorder="1" applyAlignment="1">
      <x:alignment vertical="center" wrapText="1"/>
    </x:xf>
    <x:xf numFmtId="0" fontId="14" fillId="0" borderId="0" xfId="0" applyNumberFormat="1" applyFont="1" applyFill="1" applyBorder="1"/>
    <x:xf numFmtId="0" fontId="14" fillId="0" borderId="1" xfId="0" applyNumberFormat="1" applyFont="1" applyFill="1" applyBorder="1"/>
    <x:xf numFmtId="0" fontId="14" fillId="0" borderId="1" xfId="0" applyNumberFormat="1" applyFont="1" applyFill="1" applyBorder="1" applyAlignment="1">
      <x:alignment wrapText="1"/>
    </x:xf>
    <x:xf numFmtId="0" fontId="14" fillId="0" borderId="1" xfId="0" applyNumberFormat="1" applyFont="1" applyFill="1" applyBorder="1" applyAlignment="1">
      <x:alignment vertical="top" wrapText="1"/>
    </x:xf>
    <x:xf numFmtId="0" fontId="14" fillId="17" borderId="1" xfId="0" applyNumberFormat="1" applyFont="1" applyFill="1" applyBorder="1" applyAlignment="1">
      <x:alignment vertical="top" wrapText="1"/>
    </x:xf>
    <x:xf numFmtId="0" fontId="14" fillId="17" borderId="1" xfId="0" applyNumberFormat="1" applyFont="1" applyFill="1" applyBorder="1" applyAlignment="1">
      <x:alignment horizontal="center" vertical="top" wrapText="1"/>
    </x:xf>
    <x:xf numFmtId="0" fontId="14" fillId="18" borderId="1" xfId="0" applyNumberFormat="1" applyFont="1" applyFill="1" applyBorder="1" applyAlignment="1">
      <x:alignment vertical="top" wrapText="1"/>
    </x:xf>
    <x:xf numFmtId="0" fontId="14" fillId="19" borderId="1" xfId="0" applyNumberFormat="1" applyFont="1" applyFill="1" applyBorder="1" applyAlignment="1">
      <x:alignment vertical="top" wrapText="1"/>
    </x:xf>
    <x:xf numFmtId="0" fontId="0" fillId="20" borderId="0" xfId="0" applyNumberFormat="1" applyFont="1" applyFill="1" applyBorder="1"/>
    <x:xf numFmtId="0" fontId="15" fillId="20" borderId="0" xfId="0" applyNumberFormat="1" applyFont="1" applyFill="1" applyBorder="1"/>
    <x:xf numFmtId="0" fontId="15" fillId="20" borderId="0" xfId="0" applyNumberFormat="1" applyFont="1" applyFill="1" applyBorder="1" applyAlignment="1">
      <x:alignment wrapText="1"/>
    </x:xf>
    <x:xf numFmtId="0" fontId="12" fillId="13" borderId="0" xfId="0" applyNumberFormat="1" applyFont="1" applyFill="1" applyBorder="1" applyAlignment="1">
      <x:alignment horizontal="left" vertical="center" wrapText="1"/>
    </x:xf>
    <x:xf numFmtId="0" fontId="13" fillId="1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4" fillId="15" borderId="0" xfId="0" applyNumberFormat="1" applyFont="1" applyFill="1" applyBorder="1" applyAlignment="1">
      <x:alignment vertical="center" wrapText="1"/>
    </x:xf>
    <x:xf numFmtId="0" fontId="4" fillId="2" borderId="0" xfId="0" applyNumberFormat="1" applyFont="1" applyFill="1" applyBorder="1" applyAlignment="1">
      <x:alignment horizontal="left" vertical="center" wrapText="1"/>
    </x:xf>
    <x:xf numFmtId="0" fontId="13" fillId="3" borderId="0" xfId="0" applyNumberFormat="1" applyFont="1" applyFill="1" applyBorder="1" applyAlignment="1">
      <x:alignment vertical="center"/>
    </x:xf>
    <x:xf numFmtId="0" fontId="14" fillId="0" borderId="0" xfId="0" applyNumberFormat="1" applyFont="1" applyFill="1" applyBorder="1" applyAlignment="1">
      <x:alignment vertical="top"/>
    </x:xf>
    <x:xf numFmtId="0" fontId="8" fillId="5" borderId="1" xfId="0" applyNumberFormat="1" applyFont="1" applyFill="1" applyBorder="1" applyAlignment="1">
      <x:alignment vertical="center"/>
    </x:xf>
    <x:xf numFmtId="0" fontId="14" fillId="6" borderId="1" xfId="0" applyNumberFormat="1" applyFont="1" applyFill="1" applyBorder="1" applyAlignment="1">
      <x:alignment vertical="top" wrapText="1"/>
    </x:xf>
    <x:xf numFmtId="164" fontId="14" fillId="6" borderId="1" xfId="0" applyNumberFormat="1" applyFont="1" applyFill="1" applyBorder="1" applyAlignment="1">
      <x:alignment vertical="top" wrapText="1"/>
    </x:xf>
    <x:xf numFmtId="0" fontId="4" fillId="7" borderId="2" xfId="0" applyNumberFormat="1" applyFont="1" applyFill="1" applyBorder="1" applyAlignment="1">
      <x:alignment horizontal="center" vertical="center"/>
    </x:xf>
    <x:xf numFmtId="9" fontId="8" fillId="5" borderId="1" xfId="0" applyNumberFormat="1" applyFont="1" applyFill="1" applyBorder="1" applyAlignment="1">
      <x:alignment horizontal="center" vertical="center"/>
    </x:xf>
    <x:xf numFmtId="0" fontId="4" fillId="2" borderId="0" xfId="0" applyNumberFormat="1" applyFont="1" applyFill="1" applyBorder="1" applyAlignment="1">
      <x:alignment horizontal="left" vertical="center"/>
    </x:xf>
    <x:xf numFmtId="0" fontId="13" fillId="3" borderId="0" xfId="0" applyNumberFormat="1" applyFont="1" applyFill="1" applyBorder="1" applyAlignment="1">
      <x:alignment vertical="center" wrapText="1"/>
    </x:xf>
    <x:xf numFmtId="0" fontId="14" fillId="8" borderId="1" xfId="0" applyNumberFormat="1" applyFont="1" applyFill="1" applyBorder="1" applyAlignment="1">
      <x:alignment horizontal="center" vertical="top" wrapText="1"/>
    </x:xf>
    <x:xf numFmtId="0" fontId="14" fillId="8" borderId="1" xfId="0" applyNumberFormat="1" applyFont="1" applyFill="1" applyBorder="1" applyAlignment="1">
      <x:alignment vertical="top" wrapText="1"/>
    </x:xf>
    <x:xf numFmtId="0" fontId="14" fillId="5" borderId="1" xfId="0" applyNumberFormat="1" applyFont="1" applyFill="1" applyBorder="1" applyAlignment="1">
      <x:alignment vertical="top" wrapText="1"/>
    </x:xf>
    <x:xf numFmtId="0" fontId="14" fillId="6" borderId="1" xfId="0" applyNumberFormat="1" applyFont="1" applyFill="1" applyBorder="1" applyAlignment="1">
      <x:alignment horizontal="center" vertical="top" wrapText="1"/>
    </x:xf>
    <x:xf numFmtId="0" fontId="14" fillId="0" borderId="0" xfId="0" applyNumberFormat="1" applyFont="1" applyFill="1" applyBorder="1" applyAlignment="1">
      <x:alignment vertical="top" wrapText="1"/>
    </x:xf>
    <x:xf numFmtId="0" fontId="13" fillId="3" borderId="0" xfId="0" applyNumberFormat="1" applyFont="1" applyFill="1" applyBorder="1" applyAlignment="1">
      <x:alignment vertical="top"/>
    </x:xf>
    <x:xf numFmtId="0" fontId="8" fillId="0" borderId="0" xfId="0" applyNumberFormat="1" applyFont="1" applyFill="1" applyBorder="1" applyAlignment="1">
      <x:alignment horizontal="center" vertical="top" wrapText="1"/>
    </x:xf>
    <x:xf numFmtId="0" fontId="15" fillId="9" borderId="0" xfId="0" applyNumberFormat="1" applyFont="1" applyFill="1" applyBorder="1" applyAlignment="1">
      <x:alignment vertical="top" wrapText="1"/>
    </x:xf>
    <x:xf numFmtId="0" fontId="16" fillId="0" borderId="0" xfId="0" applyNumberFormat="1" applyFont="1" applyFill="1" applyBorder="1" applyAlignment="1">
      <x:alignment wrapText="1"/>
    </x:xf>
    <x:xf numFmtId="0" fontId="14" fillId="5" borderId="1" xfId="0" applyNumberFormat="1" applyFont="1" applyFill="1" applyBorder="1" applyAlignment="1">
      <x:alignment horizontal="center" vertical="top" wrapText="1"/>
    </x:xf>
    <x:xf numFmtId="0" fontId="15" fillId="9" borderId="0" xfId="0" applyNumberFormat="1" applyFont="1" applyFill="1" applyBorder="1" applyAlignment="1">
      <x:alignment wrapText="1"/>
    </x:xf>
    <x:xf numFmtId="0" fontId="2" fillId="2" borderId="0" xfId="0" applyNumberFormat="1" applyFont="1" applyFill="1" applyBorder="1" applyAlignment="1">
      <x:alignment horizontal="left" vertical="center"/>
    </x:xf>
    <x:xf numFmtId="0" fontId="4" fillId="21" borderId="1" xfId="0" applyNumberFormat="1" applyFont="1" applyFill="1" applyBorder="1" applyAlignment="1">
      <x:alignment vertical="center" wrapText="1"/>
    </x:xf>
    <x:xf numFmtId="0" fontId="14" fillId="22" borderId="1" xfId="0" applyNumberFormat="1" applyFont="1" applyFill="1" applyBorder="1" applyAlignment="1">
      <x:alignment horizontal="center" vertical="top" wrapText="1"/>
    </x:xf>
    <x:xf numFmtId="0" fontId="14" fillId="23" borderId="1" xfId="0" applyNumberFormat="1" applyFont="1" applyFill="1" applyBorder="1" applyAlignment="1">
      <x:alignment vertical="top" wrapText="1"/>
    </x:xf>
    <x:xf numFmtId="0" fontId="14" fillId="24" borderId="1" xfId="0" applyNumberFormat="1" applyFont="1" applyFill="1" applyBorder="1" applyAlignment="1">
      <x:alignment vertical="top" wrapText="1"/>
    </x:xf>
    <x:xf numFmtId="0" fontId="15" fillId="25" borderId="0" xfId="0" applyNumberFormat="1" applyFont="1" applyFill="1" applyBorder="1" applyAlignment="1">
      <x:alignment wrapText="1"/>
    </x:xf>
  </x:cellXfs>
  <x:cellStyles count="2">
    <x:cellStyle name="Normal" xfId="1"/>
    <x:cellStyle name="Standard" xfId="0"/>
  </x:cellStyles>
  <x:dxfs count="16">
    <x:dxf>
      <x:font>
        <x:color rgb="FF9C0006"/>
      </x:font>
      <x:fill>
        <x:patternFill>
          <x:bgColor rgb="FFF4CCCC"/>
        </x:patternFill>
      </x:fill>
    </x:dxf>
    <x:dxf>
      <x:font>
        <x:b/>
        <x:color rgb="FF215E21"/>
      </x:font>
      <x:fill>
        <x:patternFill>
          <x:bgColor rgb="FFC6E0B4"/>
        </x:patternFill>
      </x:fill>
    </x:dxf>
    <x:dxf>
      <x:font>
        <x:color rgb="FF9C0006"/>
      </x:font>
      <x:fill>
        <x:patternFill>
          <x:bgColor rgb="FFF4CCCC"/>
        </x:patternFill>
      </x:fill>
    </x:dxf>
    <x:dxf>
      <x:font>
        <x:b/>
        <x:color rgb="FF215E21"/>
      </x:font>
      <x:fill>
        <x:patternFill>
          <x:bgColor rgb="FFC6E0B4"/>
        </x:patternFill>
      </x:fill>
    </x:dxf>
    <x:dxf>
      <x:font>
        <x:b/>
        <x:color rgb="FF17365D"/>
      </x:font>
      <x:fill>
        <x:patternFill>
          <x:bgColor rgb="FFD9EAF7"/>
        </x:patternFill>
      </x:fill>
    </x:dxf>
    <x:dxf>
      <x:font>
        <x:b/>
        <x:color rgb="FF5F497A"/>
      </x:font>
      <x:fill>
        <x:patternFill>
          <x:bgColor rgb="FFE4DFEC"/>
        </x:patternFill>
      </x:fill>
    </x:dxf>
    <x:dxf>
      <x:font>
        <x:b/>
        <x:color rgb="FF215E21"/>
      </x:font>
      <x:fill>
        <x:patternFill>
          <x:bgColor rgb="FFC6E0B4"/>
        </x:patternFill>
      </x:fill>
    </x:dxf>
    <x:dxf>
      <x:font>
        <x:b/>
        <x:color rgb="FF17365D"/>
      </x:font>
      <x:fill>
        <x:patternFill>
          <x:bgColor rgb="FFD9EAF7"/>
        </x:patternFill>
      </x:fill>
    </x:dxf>
    <x:dxf>
      <x:font>
        <x:color rgb="FF17365D"/>
      </x:font>
      <x:fill>
        <x:patternFill>
          <x:bgColor rgb="FFD9EAF7"/>
        </x:patternFill>
      </x:fill>
    </x:dxf>
    <x:dxf>
      <x:font>
        <x:color rgb="FF595959"/>
      </x:font>
      <x:fill>
        <x:patternFill>
          <x:bgColor rgb="FFE7E6E6"/>
        </x:patternFill>
      </x:fill>
    </x:dxf>
    <x:dxf>
      <x:font>
        <x:b/>
        <x:color rgb="FF9C0006"/>
      </x:font>
      <x:fill>
        <x:patternFill>
          <x:bgColor rgb="FFF4CCCC"/>
        </x:patternFill>
      </x:fill>
    </x:dxf>
    <x:dxf>
      <x:font>
        <x:b/>
        <x:color rgb="FF215E21"/>
      </x:font>
      <x:fill>
        <x:patternFill>
          <x:bgColor rgb="FFC6E0B4"/>
        </x:patternFill>
      </x:fill>
    </x:dxf>
    <x:dxf>
      <x:font>
        <x:color rgb="FF17365D"/>
      </x:font>
      <x:fill>
        <x:patternFill>
          <x:bgColor rgb="FFD9EAF7"/>
        </x:patternFill>
      </x:fill>
    </x:dxf>
    <x:dxf>
      <x:font>
        <x:color rgb="FF595959"/>
      </x:font>
      <x:fill>
        <x:patternFill>
          <x:bgColor rgb="FFE7E6E6"/>
        </x:patternFill>
      </x:fill>
    </x:dxf>
    <x:dxf>
      <x:font>
        <x:b/>
        <x:color rgb="FF9C0006"/>
      </x:font>
      <x:fill>
        <x:patternFill>
          <x:bgColor rgb="FFF4CCCC"/>
        </x:patternFill>
      </x:fill>
    </x:dxf>
    <x:dxf>
      <x:font>
        <x:b/>
        <x:color rgb="FF215E21"/>
      </x:font>
      <x:fill>
        <x:patternFill>
          <x:bgColor rgb="FFC6E0B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3a9a867d3e84e83" /><Relationship Type="http://schemas.openxmlformats.org/officeDocument/2006/relationships/theme" Target="/xl/theme/theme1.xml" Id="R852fccaa0f464dc3" /><Relationship Type="http://schemas.openxmlformats.org/officeDocument/2006/relationships/sharedStrings" Target="/xl/sharedStrings.xml" Id="Rf51de62d57ae4d1c" /><Relationship Type="http://schemas.openxmlformats.org/officeDocument/2006/relationships/worksheet" Target="/xl/worksheets/sheet1.xml" Id="R8261cde256314da9" /><Relationship Type="http://schemas.openxmlformats.org/officeDocument/2006/relationships/worksheet" Target="/xl/worksheets/sheet2.xml" Id="R7a218a1727ac47f8" /><Relationship Type="http://schemas.openxmlformats.org/officeDocument/2006/relationships/worksheet" Target="/xl/worksheets/sheet3.xml" Id="R3731373008d84b50" /><Relationship Type="http://schemas.openxmlformats.org/officeDocument/2006/relationships/worksheet" Target="/xl/worksheets/sheet4.xml" Id="Rb7a88e05beef498f" /><Relationship Type="http://schemas.openxmlformats.org/officeDocument/2006/relationships/worksheet" Target="/xl/worksheets/sheet5.xml" Id="Rc66030d28826466e" /><Relationship Type="http://schemas.openxmlformats.org/officeDocument/2006/relationships/worksheet" Target="/xl/worksheets/sheet6.xml" Id="Rc52581b945cd4c04" /><Relationship Type="http://schemas.openxmlformats.org/officeDocument/2006/relationships/worksheet" Target="/xl/worksheets/sheet7.xml" Id="Re01dd97b13204296" /></Relationships>
</file>

<file path=xl/tables/table1.xml><?xml version="1.0" encoding="utf-8"?>
<x:table xmlns:x="http://schemas.openxmlformats.org/spreadsheetml/2006/main" id="8" name="Reviewpunkte_7_3" displayName="Reviewpunkte_7_3" ref="A7:G13" totalsRowShown="0">
  <x:autoFilter ref="A7:G13"/>
  <x:tableColumns count="7">
    <x:tableColumn id="1" name="Nr."/>
    <x:tableColumn id="2" name="Normkapitel"/>
    <x:tableColumn id="3" name="Prüffrage / Prüfkriterium"/>
    <x:tableColumn id="4" name="Prüfergebnis"/>
    <x:tableColumn id="5" name="Kommentar / Nachweis"/>
    <x:tableColumn id="6" name="E/A-Dokumente (IDs)"/>
    <x:tableColumn id="7" name="Status / OK"/>
  </x:tableColumns>
  <x:tableStyleInfo name="TableStyleMedium2" showFirstColumn="0" showLastColumn="0" showRowStripes="1" showColumnStripes="0"/>
</x:table>
</file>

<file path=xl/tables/table2.xml><?xml version="1.0" encoding="utf-8"?>
<x:table xmlns:x="http://schemas.openxmlformats.org/spreadsheetml/2006/main" id="9" name="Dokumentenregister_7_3" displayName="Dokumentenregister_7_3" ref="A7:K19" totalsRowShown="0">
  <x:autoFilter ref="A7:K19"/>
  <x:tableColumns count="11">
    <x:tableColumn id="1" name="ID"/>
    <x:tableColumn id="2" name="Art"/>
    <x:tableColumn id="3" name="Normbegriff / Dokument"/>
    <x:tableColumn id="4" name="Funktion / erwarteter Inhalt"/>
    <x:tableColumn id="5" name="Bezug Prüfpunkt"/>
    <x:tableColumn id="6" name="Normreferenz"/>
    <x:tableColumn id="7" name="Dokumentkennung / Referenz"/>
    <x:tableColumn id="8" name="Version / Index"/>
    <x:tableColumn id="9" name="Status"/>
    <x:tableColumn id="10" name="Verantwortlich"/>
    <x:tableColumn id="11" name="Ablageort / Link"/>
  </x:tableColumns>
  <x:tableStyleInfo name="TableStyleMedium2" showFirstColumn="0" showLastColumn="0" showRowStripes="1" showColumnStripes="0"/>
</x:table>
</file>

<file path=xl/tables/table3.xml><?xml version="1.0" encoding="utf-8"?>
<x:table xmlns:x="http://schemas.openxmlformats.org/spreadsheetml/2006/main" id="3" name="ReviewMassnahmen" displayName="ReviewMassnahmen" ref="A5:G25" totalsRowShown="0">
  <x:autoFilter ref="A5:G25"/>
  <x:tableColumns count="7">
    <x:tableColumn id="1" name="ID"/>
    <x:tableColumn id="2" name="Typ"/>
    <x:tableColumn id="3" name="Review-Ergebnis / Maßnahme"/>
    <x:tableColumn id="4" name="Bezug Prüfpunkt"/>
    <x:tableColumn id="5" name="Verantwortlich"/>
    <x:tableColumn id="6" name="Fällig am"/>
    <x:tableColumn id="7" name="Status"/>
  </x:tableColumns>
  <x:tableStyleInfo name="TableStyleMedium2" showFirstColumn="0" showLastColumn="0" showRowStripes="1" showColumnStripes="0"/>
</x:table>
</file>

<file path=xl/tables/table4.xml><?xml version="1.0" encoding="utf-8"?>
<x:table xmlns:x="http://schemas.openxmlformats.org/spreadsheetml/2006/main" id="5" name="Empfehlungslegende" displayName="Empfehlungslegende" ref="A5:D9" totalsRowShown="0">
  <x:tableColumns count="4">
    <x:tableColumn id="1" name="Kennzeichen"/>
    <x:tableColumn id="2" name="Bedeutung"/>
    <x:tableColumn id="3" name="Anwendung im Review"/>
    <x:tableColumn id="4" name="Geltungsbereich"/>
  </x:tableColumns>
  <x:tableStyleInfo name="TableStyleMedium2" showFirstColumn="0" showLastColumn="0" showRowStripes="1" showColumnStripes="0"/>
</x:table>
</file>

<file path=xl/tables/table5.xml><?xml version="1.0" encoding="utf-8"?>
<x:table xmlns:x="http://schemas.openxmlformats.org/spreadsheetml/2006/main" id="6" name="Arbeitsweise" displayName="Arbeitsweise" ref="A12:D19" totalsRowShown="0">
  <x:tableColumns count="4">
    <x:tableColumn id="1" name="Schritt"/>
    <x:tableColumn id="2" name="Vorgehen"/>
    <x:tableColumn id="3" name="Dokumentation"/>
    <x:tableColumn id="4" name="Hinweis"/>
  </x:tableColumns>
  <x:tableStyleInfo name="TableStyleMedium2" showFirstColumn="0" showLastColumn="0" showRowStripes="1" showColumnStripes="0"/>
</x:table>
</file>

<file path=xl/tables/table6.xml><?xml version="1.0" encoding="utf-8"?>
<x:table xmlns:x="http://schemas.openxmlformats.org/spreadsheetml/2006/main" id="7" name="ReviewUnterschriften" displayName="ReviewUnterschriften" ref="A4:C11" totalsRowShown="0">
  <x:tableColumns count="3">
    <x:tableColumn id="1" name="Name, Vorname, Abteilung, Funktion"/>
    <x:tableColumn id="2" name="Datum"/>
    <x:tableColumn id="3" name="Unterschrift / Bestätigu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f0e8f085b3a4f96" /></Relationships>
</file>

<file path=xl/worksheets/_rels/sheet3.xml.rels>&#65279;<?xml version="1.0" encoding="utf-8"?><Relationships xmlns="http://schemas.openxmlformats.org/package/2006/relationships"><Relationship Type="http://schemas.openxmlformats.org/officeDocument/2006/relationships/table" Target="/xl/tables/table2.xml" Id="R20d9506a122847b8" /></Relationships>
</file>

<file path=xl/worksheets/_rels/sheet4.xml.rels>&#65279;<?xml version="1.0" encoding="utf-8"?><Relationships xmlns="http://schemas.openxmlformats.org/package/2006/relationships"><Relationship Type="http://schemas.openxmlformats.org/officeDocument/2006/relationships/table" Target="/xl/tables/table3.xml" Id="R69730d6aa97a4d54" /></Relationships>
</file>

<file path=xl/worksheets/_rels/sheet5.xml.rels>&#65279;<?xml version="1.0" encoding="utf-8"?><Relationships xmlns="http://schemas.openxmlformats.org/package/2006/relationships"><Relationship Type="http://schemas.openxmlformats.org/officeDocument/2006/relationships/table" Target="/xl/tables/table4.xml" Id="Rfacefa804c3740bb" /><Relationship Type="http://schemas.openxmlformats.org/officeDocument/2006/relationships/table" Target="/xl/tables/table5.xml" Id="Ra4ef9185838f4411" /></Relationships>
</file>

<file path=xl/worksheets/_rels/sheet6.xml.rels>&#65279;<?xml version="1.0" encoding="utf-8"?><Relationships xmlns="http://schemas.openxmlformats.org/package/2006/relationships"><Relationship Type="http://schemas.openxmlformats.org/officeDocument/2006/relationships/table" Target="/xl/tables/table6.xml" Id="R280346faf92c48d9" /></Relationships>
</file>

<file path=xl/worksheets/sheet1.xml><?xml version="1.0" encoding="utf-8"?>
<x:worksheet xmlns:x="http://schemas.openxmlformats.org/spreadsheetml/2006/main">
  <x:sheetViews>
    <x:sheetView showGridLines="0" workbookViewId="0"/>
  </x:sheetViews>
  <x:sheetFormatPr baseColWidth="10" defaultColWidth="9" defaultRowHeight="14.25"/>
  <x:cols>
    <x:col min="1" max="1" width="22" customWidth="1"/>
    <x:col min="2" max="4" width="14" customWidth="1"/>
    <x:col min="5" max="5" width="19" customWidth="1"/>
    <x:col min="6" max="8" width="14" customWidth="1"/>
  </x:cols>
  <x:sheetData>
    <x:row r="1" ht="42" customHeight="1">
      <x:c r="A1" s="48" t="str">
        <x:v>Reviewprotokoll IEC 61508-2 – Kapitel 7.1
Allgemeine Anforderungen an den Sicherheitslebenszyklus des E/E/PE-Systems</x:v>
      </x:c>
      <x:c r="B1" s="81"/>
      <x:c r="C1" s="81"/>
      <x:c r="D1" s="81"/>
      <x:c r="E1" s="81"/>
      <x:c r="F1" s="81"/>
      <x:c r="G1" s="81"/>
      <x:c r="H1" s="81"/>
    </x:row>
    <x:row r="2" ht="42" customHeight="1">
      <x:c r="A2" s="48"/>
      <x:c r="B2" s="81"/>
      <x:c r="C2" s="81"/>
      <x:c r="D2" s="81"/>
      <x:c r="E2" s="81"/>
      <x:c r="F2" s="81"/>
      <x:c r="G2" s="81"/>
      <x:c r="H2" s="81"/>
    </x:row>
    <x:row r="3">
      <x:c r="A3" s="82" t="str">
        <x:v>Strukturierte Arbeitsmappe für SIL 1 bis SIL 3 · Eingabefelder sind gelb markiert</x:v>
      </x:c>
      <x:c r="B3" s="82"/>
      <x:c r="C3" s="82"/>
      <x:c r="D3" s="82"/>
      <x:c r="E3" s="82"/>
      <x:c r="F3" s="82"/>
      <x:c r="G3" s="82"/>
      <x:c r="H3" s="82"/>
    </x:row>
    <x:row r="4">
      <x:c r="A4" s="83"/>
      <x:c r="B4" s="83"/>
      <x:c r="C4" s="83"/>
      <x:c r="D4" s="83"/>
      <x:c r="E4" s="83"/>
      <x:c r="F4" s="83"/>
      <x:c r="G4" s="83"/>
      <x:c r="H4" s="83"/>
    </x:row>
    <x:row r="5" ht="24" customHeight="1">
      <x:c r="A5" s="30" t="s">
        <x:v>0</x:v>
      </x:c>
      <x:c r="B5" s="30" t="s">
        <x:v>0</x:v>
      </x:c>
      <x:c r="C5" s="30" t="s">
        <x:v>0</x:v>
      </x:c>
      <x:c r="D5" s="30" t="s">
        <x:v>0</x:v>
      </x:c>
      <x:c r="E5" s="30" t="s">
        <x:v>0</x:v>
      </x:c>
      <x:c r="F5" s="30" t="s">
        <x:v>0</x:v>
      </x:c>
      <x:c r="G5" s="30" t="s">
        <x:v>0</x:v>
      </x:c>
      <x:c r="H5" s="30" t="s">
        <x:v>0</x:v>
      </x:c>
    </x:row>
    <x:row r="6">
      <x:c r="A6" s="84" t="s">
        <x:v>1</x:v>
      </x:c>
      <x:c r="B6" s="85"/>
      <x:c r="C6" s="85"/>
      <x:c r="D6" s="85"/>
      <x:c r="E6" s="84" t="s">
        <x:v>2</x:v>
      </x:c>
      <x:c r="F6" s="85"/>
      <x:c r="G6" s="85"/>
      <x:c r="H6" s="85"/>
    </x:row>
    <x:row r="7">
      <x:c r="A7" s="84" t="s">
        <x:v>3</x:v>
      </x:c>
      <x:c r="B7" s="85"/>
      <x:c r="C7" s="85"/>
      <x:c r="D7" s="85"/>
      <x:c r="E7" s="84" t="s">
        <x:v>4</x:v>
      </x:c>
      <x:c r="F7" s="85"/>
      <x:c r="G7" s="85"/>
      <x:c r="H7" s="85"/>
    </x:row>
    <x:row r="8">
      <x:c r="A8" s="84" t="s">
        <x:v>5</x:v>
      </x:c>
      <x:c r="B8" s="85"/>
      <x:c r="C8" s="85"/>
      <x:c r="D8" s="85"/>
      <x:c r="E8" s="84" t="s">
        <x:v>6</x:v>
      </x:c>
      <x:c r="F8" s="85" t="str">
        <x:v>IEC 61508-2: Kapitel 7.1 Allgemeines</x:v>
      </x:c>
      <x:c r="G8" s="85"/>
      <x:c r="H8" s="85"/>
    </x:row>
    <x:row r="9">
      <x:c r="A9" s="84" t="s">
        <x:v>7</x:v>
      </x:c>
      <x:c r="B9" s="85"/>
      <x:c r="C9" s="85"/>
      <x:c r="D9" s="85"/>
      <x:c r="E9" s="84" t="s">
        <x:v>8</x:v>
      </x:c>
      <x:c r="F9" s="86"/>
      <x:c r="G9" s="86"/>
      <x:c r="H9" s="86"/>
    </x:row>
    <x:row r="10">
      <x:c r="A10" s="84" t="s">
        <x:v>9</x:v>
      </x:c>
      <x:c r="B10" s="85"/>
      <x:c r="C10" s="85"/>
      <x:c r="D10" s="85"/>
      <x:c r="E10" s="84" t="s">
        <x:v>10</x:v>
      </x:c>
      <x:c r="F10" s="85"/>
      <x:c r="G10" s="85"/>
      <x:c r="H10" s="85"/>
    </x:row>
    <x:row r="11">
      <x:c r="A11" s="83"/>
      <x:c r="B11" s="83"/>
      <x:c r="C11" s="83"/>
      <x:c r="D11" s="83"/>
      <x:c r="E11" s="83"/>
      <x:c r="F11" s="83"/>
      <x:c r="G11" s="83"/>
      <x:c r="H11" s="83"/>
    </x:row>
    <x:row r="12" ht="24" customHeight="1">
      <x:c r="A12" s="30" t="s">
        <x:v>11</x:v>
      </x:c>
      <x:c r="B12" s="30" t="s">
        <x:v>11</x:v>
      </x:c>
      <x:c r="C12" s="30" t="s">
        <x:v>11</x:v>
      </x:c>
      <x:c r="D12" s="30" t="s">
        <x:v>11</x:v>
      </x:c>
      <x:c r="E12" s="30" t="s">
        <x:v>11</x:v>
      </x:c>
      <x:c r="F12" s="30" t="s">
        <x:v>11</x:v>
      </x:c>
      <x:c r="G12" s="30" t="s">
        <x:v>11</x:v>
      </x:c>
      <x:c r="H12" s="30" t="s">
        <x:v>11</x:v>
      </x:c>
    </x:row>
    <x:row r="13">
      <x:c r="A13" s="84" t="s">
        <x:v>12</x:v>
      </x:c>
      <x:c r="B13" s="85"/>
      <x:c r="C13" s="85"/>
      <x:c r="D13" s="85"/>
      <x:c r="E13" s="85"/>
      <x:c r="F13" s="85"/>
      <x:c r="G13" s="85"/>
      <x:c r="H13" s="85"/>
    </x:row>
    <x:row r="14">
      <x:c r="A14" s="84" t="s">
        <x:v>13</x:v>
      </x:c>
      <x:c r="B14" s="85"/>
      <x:c r="C14" s="85"/>
      <x:c r="D14" s="85"/>
      <x:c r="E14" s="85"/>
      <x:c r="F14" s="85"/>
      <x:c r="G14" s="85"/>
      <x:c r="H14" s="85"/>
    </x:row>
    <x:row r="15">
      <x:c r="A15" s="84" t="s">
        <x:v>14</x:v>
      </x:c>
      <x:c r="B15" s="85"/>
      <x:c r="C15" s="85"/>
      <x:c r="D15" s="85"/>
      <x:c r="E15" s="85"/>
      <x:c r="F15" s="85"/>
      <x:c r="G15" s="85"/>
      <x:c r="H15" s="85"/>
    </x:row>
    <x:row r="16">
      <x:c r="A16" s="84" t="s">
        <x:v>15</x:v>
      </x:c>
      <x:c r="B16" s="85"/>
      <x:c r="C16" s="85"/>
      <x:c r="D16" s="85"/>
      <x:c r="E16" s="85"/>
      <x:c r="F16" s="85"/>
      <x:c r="G16" s="85"/>
      <x:c r="H16" s="85"/>
    </x:row>
    <x:row r="17">
      <x:c r="A17" s="83"/>
      <x:c r="B17" s="83"/>
      <x:c r="C17" s="83"/>
      <x:c r="D17" s="83"/>
      <x:c r="E17" s="83"/>
      <x:c r="F17" s="83"/>
      <x:c r="G17" s="83"/>
      <x:c r="H17" s="83"/>
    </x:row>
    <x:row r="18" ht="24" customHeight="1">
      <x:c r="A18" s="30" t="s">
        <x:v>16</x:v>
      </x:c>
      <x:c r="B18" s="30" t="s">
        <x:v>16</x:v>
      </x:c>
      <x:c r="C18" s="30" t="s">
        <x:v>16</x:v>
      </x:c>
      <x:c r="D18" s="30" t="s">
        <x:v>16</x:v>
      </x:c>
      <x:c r="E18" s="30" t="s">
        <x:v>16</x:v>
      </x:c>
      <x:c r="F18" s="30" t="s">
        <x:v>16</x:v>
      </x:c>
      <x:c r="G18" s="30" t="s">
        <x:v>16</x:v>
      </x:c>
      <x:c r="H18" s="30" t="s">
        <x:v>16</x:v>
      </x:c>
    </x:row>
    <x:row r="19">
      <x:c r="A19" s="87" t="s">
        <x:v>17</x:v>
      </x:c>
      <x:c r="B19" s="87"/>
      <x:c r="C19" s="87" t="s">
        <x:v>18</x:v>
      </x:c>
      <x:c r="D19" s="87"/>
      <x:c r="E19" s="87" t="s">
        <x:v>19</x:v>
      </x:c>
      <x:c r="F19" s="87"/>
      <x:c r="G19" s="87" t="s">
        <x:v>20</x:v>
      </x:c>
      <x:c r="H19" s="87" t="s">
        <x:v>21</x:v>
      </x:c>
    </x:row>
    <x:row r="20" ht="18.75">
      <x:c r="A20" s="44" t="n">
        <x:f>COUNTA('Review 7.1'!A8:A16)</x:f>
        <x:v>9</x:v>
      </x:c>
      <x:c r="B20" s="44"/>
      <x:c r="C20" s="44" t="n">
        <x:f>COUNTIF('Review 7.1'!G8:G16,"OK")</x:f>
        <x:v>0</x:v>
      </x:c>
      <x:c r="D20" s="44"/>
      <x:c r="E20" s="44" t="n">
        <x:f>COUNTIF('Review 7.1'!G8:G16,"Nicht OK")</x:f>
        <x:v>0</x:v>
      </x:c>
      <x:c r="F20" s="44"/>
      <x:c r="G20" s="44" t="n">
        <x:f>COUNTIF('Review 7.1'!G8:G16,"Nicht geprüft")</x:f>
        <x:v>9</x:v>
      </x:c>
      <x:c r="H20" s="88" t="n">
        <x:f>IF(A20=0,0,(C20+E20)/A20)</x:f>
        <x:v>0</x:v>
      </x:c>
    </x:row>
    <x:row r="21">
      <x:c r="A21" s="83"/>
      <x:c r="B21" s="83"/>
      <x:c r="C21" s="83"/>
      <x:c r="D21" s="83"/>
      <x:c r="E21" s="83"/>
      <x:c r="F21" s="83"/>
      <x:c r="G21" s="83"/>
      <x:c r="H21" s="83"/>
    </x:row>
    <x:row r="22">
      <x:c r="A22" s="84" t="s">
        <x:v>22</x:v>
      </x:c>
      <x:c r="B22" s="85"/>
      <x:c r="C22" s="85"/>
      <x:c r="D22" s="85"/>
      <x:c r="E22" s="85"/>
      <x:c r="F22" s="85"/>
      <x:c r="G22" s="85"/>
      <x:c r="H22" s="85"/>
    </x:row>
    <x:row r="23" ht="27.950000762939453" customHeight="1">
      <x:c r="A23" s="84" t="s">
        <x:v>23</x:v>
      </x:c>
      <x:c r="B23" s="85"/>
      <x:c r="C23" s="85"/>
      <x:c r="D23" s="85"/>
      <x:c r="E23" s="85"/>
      <x:c r="F23" s="85"/>
      <x:c r="G23" s="85"/>
      <x:c r="H23" s="85"/>
    </x:row>
    <x:row r="24" ht="27.950000762939453" customHeight="1">
      <x:c r="A24" s="83"/>
      <x:c r="B24" s="85"/>
      <x:c r="C24" s="85"/>
      <x:c r="D24" s="85"/>
      <x:c r="E24" s="85"/>
      <x:c r="F24" s="85"/>
      <x:c r="G24" s="85"/>
      <x:c r="H24" s="85"/>
    </x:row>
    <x:row r="25" ht="27.950000762939453" customHeight="1">
      <x:c r="A25" s="83"/>
      <x:c r="B25" s="85"/>
      <x:c r="C25" s="85"/>
      <x:c r="D25" s="85"/>
      <x:c r="E25" s="85"/>
      <x:c r="F25" s="85"/>
      <x:c r="G25" s="85"/>
      <x:c r="H25" s="85"/>
    </x:row>
    <x:row r="26">
      <x:c r="A26" s="83"/>
      <x:c r="B26" s="83"/>
      <x:c r="C26" s="83"/>
      <x:c r="D26" s="83"/>
      <x:c r="E26" s="83"/>
      <x:c r="F26" s="83"/>
      <x:c r="G26" s="83"/>
      <x:c r="H26" s="83"/>
    </x:row>
    <x:row r="27" ht="26.100000381469727" customHeight="1">
      <x:c r="A27" s="84" t="s">
        <x:v>24</x:v>
      </x:c>
      <x:c r="B27" s="85" t="str">
        <x:v>Das Dokument wird auf vollständige und nachvollziehbare Umsetzung von IEC 61508-2, Kapitel 7.1 geprüft.</x:v>
      </x:c>
      <x:c r="C27" s="85"/>
      <x:c r="D27" s="85"/>
      <x:c r="E27" s="85"/>
      <x:c r="F27" s="85"/>
      <x:c r="G27" s="85"/>
      <x:c r="H27" s="85"/>
    </x:row>
    <x:row r="28" ht="26.100000381469727" customHeight="1">
      <x:c r="A28" s="83"/>
      <x:c r="B28" s="85"/>
      <x:c r="C28" s="85"/>
      <x:c r="D28" s="85"/>
      <x:c r="E28" s="85"/>
      <x:c r="F28" s="85"/>
      <x:c r="G28" s="85"/>
      <x:c r="H28" s="85"/>
    </x:row>
    <x:row r="29" ht="26.100000381469727" customHeight="1">
      <x:c r="A29" s="83"/>
      <x:c r="B29" s="85"/>
      <x:c r="C29" s="85"/>
      <x:c r="D29" s="85"/>
      <x:c r="E29" s="85"/>
      <x:c r="F29" s="85"/>
      <x:c r="G29" s="85"/>
      <x:c r="H29" s="85"/>
    </x:row>
    <x:row r="30" ht="26.100000381469727" customHeight="1">
      <x:c r="A30" s="83"/>
      <x:c r="B30" s="85"/>
      <x:c r="C30" s="85"/>
      <x:c r="D30" s="85"/>
      <x:c r="E30" s="85"/>
      <x:c r="F30" s="85"/>
      <x:c r="G30" s="85"/>
      <x:c r="H30" s="85"/>
    </x:row>
    <x:row r="31">
      <x:c r="A31" s="1"/>
      <x:c r="B31" s="1"/>
      <x:c r="C31" s="1"/>
      <x:c r="D31" s="1"/>
      <x:c r="E31" s="1"/>
      <x:c r="F31" s="1"/>
      <x:c r="G31" s="1"/>
      <x:c r="H31" s="1"/>
    </x:row>
    <x:row r="32">
      <x:c r="A32" s="1"/>
      <x:c r="B32" s="1"/>
      <x:c r="C32" s="1"/>
      <x:c r="D32" s="1"/>
      <x:c r="E32" s="1"/>
      <x:c r="F32" s="1"/>
      <x:c r="G32" s="1"/>
      <x:c r="H32" s="1"/>
    </x:row>
    <x:row r="33">
      <x:c r="A33" s="1"/>
      <x:c r="B33" s="1"/>
      <x:c r="C33" s="1"/>
      <x:c r="D33" s="1"/>
      <x:c r="E33" s="1"/>
      <x:c r="F33" s="1"/>
      <x:c r="G33" s="1"/>
      <x:c r="H33" s="1"/>
    </x:row>
    <x:row r="34">
      <x:c r="A34" s="1"/>
      <x:c r="B34" s="1"/>
      <x:c r="C34" s="1"/>
      <x:c r="D34" s="1"/>
      <x:c r="E34" s="1"/>
      <x:c r="F34" s="1"/>
      <x:c r="G34" s="1"/>
      <x:c r="H34" s="1"/>
    </x:row>
    <x:row r="35">
      <x:c r="A35" s="1"/>
      <x:c r="B35" s="1"/>
      <x:c r="C35" s="1"/>
      <x:c r="D35" s="1"/>
      <x:c r="E35" s="1"/>
      <x:c r="F35" s="1"/>
      <x:c r="G35" s="1"/>
      <x:c r="H35" s="1"/>
    </x:row>
  </x:sheetData>
  <x:mergeCells>
    <x:mergeCell ref="B27:H30"/>
    <x:mergeCell ref="B15:H15"/>
    <x:mergeCell ref="B16:H16"/>
    <x:mergeCell ref="A18:H18"/>
    <x:mergeCell ref="B22:H22"/>
    <x:mergeCell ref="B23:H25"/>
    <x:mergeCell ref="B10:D10"/>
    <x:mergeCell ref="F10:H10"/>
    <x:mergeCell ref="A12:H12"/>
    <x:mergeCell ref="B13:H13"/>
    <x:mergeCell ref="B14:H14"/>
    <x:mergeCell ref="B7:D7"/>
    <x:mergeCell ref="F7:H7"/>
    <x:mergeCell ref="B8:D8"/>
    <x:mergeCell ref="F8:H8"/>
    <x:mergeCell ref="B9:D9"/>
    <x:mergeCell ref="F9:H9"/>
    <x:mergeCell ref="A1:H2"/>
    <x:mergeCell ref="A3:H3"/>
    <x:mergeCell ref="A5:H5"/>
    <x:mergeCell ref="B6:D6"/>
    <x:mergeCell ref="F6:H6"/>
  </x:mergeCells>
  <x:dataValidations count="2">
    <x:dataValidation type="list" sqref="B8:D8">
      <x:formula1>"SIL 1,SIL 2,SIL 3"</x:formula1>
    </x:dataValidation>
    <x:dataValidation type="list" sqref="B22:H22">
      <x:formula1>"Dokument muss überarbeitet werden und kann danach freigegeben werden,Dokument muss überarbeitet werden und danach einem Review unterzogen werden,Dokument kann zum externen Review vorgelegt werden,Dokument kann freigegeben werden"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10" defaultColWidth="9" defaultRowHeight="14.25"/>
  <x:cols>
    <x:col min="1" max="1" width="8" customWidth="1"/>
    <x:col min="2" max="2" width="14" customWidth="1"/>
    <x:col min="3" max="3" width="72" customWidth="1"/>
    <x:col min="4" max="5" width="34" customWidth="1"/>
    <x:col min="6" max="6" width="25" customWidth="1"/>
    <x:col min="7" max="7" width="17" customWidth="1"/>
  </x:cols>
  <x:sheetData>
    <x:row r="1" ht="33.95000076293945" customHeight="1">
      <x:c r="A1" s="102" t="str">
        <x:v>Checkliste – IEC 61508-2, Kapitel 7.1</x:v>
      </x:c>
      <x:c r="B1" s="89"/>
      <x:c r="C1" s="89"/>
      <x:c r="D1" s="89"/>
      <x:c r="E1" s="89"/>
      <x:c r="F1" s="89"/>
      <x:c r="G1" s="89"/>
    </x:row>
    <x:row r="2" ht="33.95000076293945" customHeight="1">
      <x:c r="A2" s="102"/>
      <x:c r="B2" s="89"/>
      <x:c r="C2" s="89"/>
      <x:c r="D2" s="89"/>
      <x:c r="E2" s="89"/>
      <x:c r="F2" s="89"/>
      <x:c r="G2" s="89"/>
    </x:row>
    <x:row r="3">
      <x:c r="A3" s="90" t="str">
        <x:v>Prüfergebnis: konkrete Bewertung des Prüfpunkts. Kommentar / Nachweis: Begründung, Referenz auf Nachweise oder offene Punkte.</x:v>
      </x:c>
      <x:c r="B3" s="90"/>
      <x:c r="C3" s="90"/>
      <x:c r="D3" s="90"/>
      <x:c r="E3" s="90"/>
      <x:c r="F3" s="90"/>
      <x:c r="G3" s="90"/>
    </x:row>
    <x:row r="4">
      <x:c r="A4" s="83"/>
      <x:c r="B4" s="83"/>
      <x:c r="C4" s="83"/>
      <x:c r="D4" s="83"/>
      <x:c r="E4" s="83"/>
      <x:c r="F4" s="83"/>
      <x:c r="G4" s="83"/>
    </x:row>
    <x:row r="5" ht="15">
      <x:c r="A5" s="38" t="str">
        <x:v>Kapitel 7.1</x:v>
      </x:c>
      <x:c r="B5" s="38" t="str">
        <x:v>Allgemeine Anforderungen an den Sicherheitslebenszyklus des E/E/PE-Systems</x:v>
      </x:c>
      <x:c r="C5" s="38" t="str">
        <x:v>9 Prüfpunkte</x:v>
      </x:c>
      <x:c r="D5" s="38"/>
      <x:c r="E5" s="38"/>
      <x:c r="F5" s="38" t="str">
        <x:v>Dokumentenbezug</x:v>
      </x:c>
      <x:c r="G5" s="38" t="str">
        <x:v>Status / OK</x:v>
      </x:c>
    </x:row>
    <x:row r="6">
      <x:c r="A6" s="83"/>
      <x:c r="B6" s="83"/>
      <x:c r="C6" s="83"/>
      <x:c r="D6" s="83"/>
      <x:c r="E6" s="83"/>
      <x:c r="F6" s="83"/>
      <x:c r="G6" s="83"/>
    </x:row>
    <x:row r="7" ht="34" customHeight="1">
      <x:c r="A7" s="69" t="str">
        <x:v>Nr.</x:v>
      </x:c>
      <x:c r="B7" s="69" t="str">
        <x:v>Normkapitel</x:v>
      </x:c>
      <x:c r="C7" s="69" t="str">
        <x:v>Prüffrage / Prüfkriterium</x:v>
      </x:c>
      <x:c r="D7" s="69" t="str">
        <x:v>Prüfergebnis</x:v>
      </x:c>
      <x:c r="E7" s="69" t="str">
        <x:v>Kommentar / Nachweis</x:v>
      </x:c>
      <x:c r="F7" s="69" t="str">
        <x:v>E/A-Dokumente (IDs)</x:v>
      </x:c>
      <x:c r="G7" s="69" t="str">
        <x:v>Status / OK</x:v>
      </x:c>
    </x:row>
    <x:row r="8" ht="90" customHeight="1">
      <x:c r="A8" s="91" t="str">
        <x:v>F1</x:v>
      </x:c>
      <x:c r="B8" s="91" t="str">
        <x:v>7.1.1.1</x:v>
      </x:c>
      <x:c r="C8" s="92" t="str">
        <x:v>Ist festgelegt, dass die Ziele und Anforderungen für sämtliche Phasen des Sicherheitslebenszyklus des E/E/PE-Systems im Review berücksichtigt werden?</x:v>
      </x:c>
      <x:c r="D8" s="85"/>
      <x:c r="E8" s="85"/>
      <x:c r="F8" s="93" t="str">
        <x:v>D01, D02</x:v>
      </x:c>
      <x:c r="G8" s="94" t="str">
        <x:v>Nicht geprüft</x:v>
      </x:c>
    </x:row>
    <x:row r="9" ht="90" customHeight="1">
      <x:c r="A9" s="91" t="str">
        <x:v>F2</x:v>
      </x:c>
      <x:c r="B9" s="91" t="str">
        <x:v>7.1.1.2</x:v>
      </x:c>
      <x:c r="C9" s="92" t="str">
        <x:v>Werden für jede Phase gemäß Tabelle 1 das Ziel, der Anwendungsbereich, der zugehörige Anforderungsabschnitt, die erforderlichen Eingaben und die erforderlichen Ergebnisse (Ausgaben) eindeutig festgelegt und verwendet?</x:v>
      </x:c>
      <x:c r="D9" s="85"/>
      <x:c r="E9" s="85"/>
      <x:c r="F9" s="93" t="str">
        <x:v>D03, D09</x:v>
      </x:c>
      <x:c r="G9" s="94" t="str">
        <x:v>Nicht geprüft</x:v>
      </x:c>
    </x:row>
    <x:row r="10" ht="90" customHeight="1">
      <x:c r="A10" s="91" t="str">
        <x:v>Z1</x:v>
      </x:c>
      <x:c r="B10" s="91" t="str">
        <x:v>7.1.2.1</x:v>
      </x:c>
      <x:c r="C10" s="92" t="str">
        <x:v>Sind die zu betrachtenden Phasen des Sicherheitslebenszyklus des E/E/PE-Systems systematisch strukturiert, damit die erforderliche funktionale Sicherheit erreicht werden kann?</x:v>
      </x:c>
      <x:c r="D10" s="85"/>
      <x:c r="E10" s="85"/>
      <x:c r="F10" s="93" t="str">
        <x:v>D02, D04</x:v>
      </x:c>
      <x:c r="G10" s="94" t="str">
        <x:v>Nicht geprüft</x:v>
      </x:c>
    </x:row>
    <x:row r="11" ht="90" customHeight="1">
      <x:c r="A11" s="91" t="str">
        <x:v>Z2</x:v>
      </x:c>
      <x:c r="B11" s="91" t="str">
        <x:v>7.1.2.2</x:v>
      </x:c>
      <x:c r="C11" s="92" t="str">
        <x:v>Werden alle für die funktionale Sicherheit relevanten Informationen während des gesamten Sicherheitslebenszyklus des E/E/PE-Systems dokumentiert?</x:v>
      </x:c>
      <x:c r="D11" s="85"/>
      <x:c r="E11" s="85"/>
      <x:c r="F11" s="93" t="str">
        <x:v>D05, D10</x:v>
      </x:c>
      <x:c r="G11" s="94" t="str">
        <x:v>Nicht geprüft</x:v>
      </x:c>
    </x:row>
    <x:row r="12" ht="150" customHeight="1">
      <x:c r="A12" s="91" t="str">
        <x:v>1</x:v>
      </x:c>
      <x:c r="B12" s="91" t="str">
        <x:v>7.1.3.1</x:v>
      </x:c>
      <x:c r="C12" s="92" t="str">
        <x:v>Wird der in Bild 2 festgelegte Sicherheitslebenszyklus des E/E/PE-Systems verwendet? Wird bei ASICs das V-Modell nach Bild 3 und IEC 61508-4, 3.2.15 berücksichtigt? Falls ein anderer Lebenszyklus verwendet wird: Ist er im Management der funktionalen Sicherheit nach IEC 61508-1, Abschnitt 6 festgelegt und erfüllt er sämtliche Ziele und Anforderungen der IEC 61508-2?</x:v>
      </x:c>
      <x:c r="D12" s="85"/>
      <x:c r="E12" s="85"/>
      <x:c r="F12" s="93" t="str">
        <x:v>D02, D04, D06, D07, D12</x:v>
      </x:c>
      <x:c r="G12" s="94" t="str">
        <x:v>Nicht geprüft</x:v>
      </x:c>
    </x:row>
    <x:row r="13" ht="100" customHeight="1">
      <x:c r="A13" s="91" t="str">
        <x:v>2</x:v>
      </x:c>
      <x:c r="B13" s="91" t="str">
        <x:v>7.1.3.2</x:v>
      </x:c>
      <x:c r="C13" s="92" t="str">
        <x:v>Laufen die Verfahren für das Management der funktionalen Sicherheit nach IEC 61508-1, Abschnitt 6 parallel zu allen Phasen des Sicherheitslebenszyklus des E/E/PE-Systems?</x:v>
      </x:c>
      <x:c r="D13" s="85"/>
      <x:c r="E13" s="85"/>
      <x:c r="F13" s="93" t="str">
        <x:v>D06, D08</x:v>
      </x:c>
      <x:c r="G13" s="94" t="str">
        <x:v>Nicht geprüft</x:v>
      </x:c>
    </x:row>
    <x:row r="14" ht="100" customHeight="1">
      <x:c r="A14" s="91" t="str">
        <x:v>3</x:v>
      </x:c>
      <x:c r="B14" s="91" t="str">
        <x:v>7.1.3.3</x:v>
      </x:c>
      <x:c r="C14" s="92" t="str">
        <x:v>Ist jede Phase in elementare Tätigkeiten unterteilt, und sind für jede Phase beziehungsweise Tätigkeit der Anwendungsbereich, die Eingaben und die Ergebnisse (Ausgaben) gemäß Tabelle 1 festgelegt?</x:v>
      </x:c>
      <x:c r="D14" s="85"/>
      <x:c r="E14" s="85"/>
      <x:c r="F14" s="93" t="str">
        <x:v>D03, D09</x:v>
      </x:c>
      <x:c r="G14" s="94" t="str">
        <x:v>Nicht geprüft</x:v>
      </x:c>
    </x:row>
    <x:row r="15" ht="100" customHeight="1">
      <x:c r="A15" s="91" t="str">
        <x:v>4</x:v>
      </x:c>
      <x:c r="B15" s="91" t="str">
        <x:v>7.1.3.4</x:v>
      </x:c>
      <x:c r="C15" s="92" t="str">
        <x:v>Sind die Ergebnisse jeder Phase dokumentiert? Falls auf eine Dokumentation verzichtet wird: Ist dies als Teil des Managements der funktionalen Sicherheit nach IEC 61508-1, Abschnitt 6 begründet und mit den Dokumentationsanforderungen nach IEC 61508-1, Abschnitt 5 vereinbar?</x:v>
      </x:c>
      <x:c r="D15" s="85"/>
      <x:c r="E15" s="85"/>
      <x:c r="F15" s="93" t="str">
        <x:v>D05, D08, D10</x:v>
      </x:c>
      <x:c r="G15" s="94" t="str">
        <x:v>Nicht geprüft</x:v>
      </x:c>
    </x:row>
    <x:row r="16" ht="100" customHeight="1">
      <x:c r="A16" s="91" t="str">
        <x:v>5</x:v>
      </x:c>
      <x:c r="B16" s="91" t="str">
        <x:v>7.1.3.5</x:v>
      </x:c>
      <x:c r="C16" s="92" t="str">
        <x:v>Erfüllen die Ergebnisse jeder Phase die für diese Phase festgelegten Ziele und Anforderungen der IEC 61508-2, 7.2 bis 7.9, und ist diese Übereinstimmung nachgewiesen?</x:v>
      </x:c>
      <x:c r="D16" s="85"/>
      <x:c r="E16" s="85"/>
      <x:c r="F16" s="93" t="str">
        <x:v>D09, D10, D11</x:v>
      </x:c>
      <x:c r="G16" s="94" t="str">
        <x:v>Nicht geprüft</x:v>
      </x:c>
    </x:row>
    <x:row r="17" ht="165" customHeight="1">
      <x:c r="A17" s="91"/>
      <x:c r="B17" s="91"/>
      <x:c r="C17" s="92"/>
      <x:c r="D17" s="85"/>
      <x:c r="E17" s="85"/>
      <x:c r="F17" s="93"/>
      <x:c r="G17" s="94"/>
    </x:row>
    <x:row r="18" ht="165" customHeight="1">
      <x:c r="A18" s="91"/>
      <x:c r="B18" s="91"/>
      <x:c r="C18" s="92"/>
      <x:c r="D18" s="85"/>
      <x:c r="E18" s="85"/>
      <x:c r="F18" s="93"/>
      <x:c r="G18" s="94"/>
    </x:row>
    <x:row r="19" ht="156.9499969482422" customHeight="1">
      <x:c r="A19" s="91"/>
      <x:c r="B19" s="91"/>
      <x:c r="C19" s="92"/>
      <x:c r="D19" s="85"/>
      <x:c r="E19" s="85"/>
      <x:c r="F19" s="93"/>
      <x:c r="G19" s="94"/>
    </x:row>
    <x:row r="20" ht="123.94999694824219" customHeight="1">
      <x:c r="A20" s="91"/>
      <x:c r="B20" s="91"/>
      <x:c r="C20" s="92"/>
      <x:c r="D20" s="85"/>
      <x:c r="E20" s="85"/>
      <x:c r="F20" s="93"/>
      <x:c r="G20" s="94"/>
    </x:row>
    <x:row r="21" ht="182.10000610351562" customHeight="1">
      <x:c r="A21" s="91"/>
      <x:c r="B21" s="91"/>
      <x:c r="C21" s="92"/>
      <x:c r="D21" s="85"/>
      <x:c r="E21" s="85"/>
      <x:c r="F21" s="93"/>
      <x:c r="G21" s="94"/>
    </x:row>
    <x:row r="22" ht="72" customHeight="1">
      <x:c r="A22" s="91"/>
      <x:c r="B22" s="91"/>
      <x:c r="C22" s="92"/>
      <x:c r="D22" s="85"/>
      <x:c r="E22" s="85"/>
      <x:c r="F22" s="93"/>
      <x:c r="G22" s="94"/>
    </x:row>
    <x:row r="23">
      <x:c r="A23" s="1"/>
      <x:c r="B23" s="1"/>
      <x:c r="C23" s="1"/>
      <x:c r="D23" s="1"/>
      <x:c r="E23" s="1"/>
      <x:c r="F23" s="1"/>
      <x:c r="G23" s="1"/>
    </x:row>
    <x:row r="24">
      <x:c r="A24" s="1"/>
      <x:c r="B24" s="1"/>
      <x:c r="C24" s="1"/>
      <x:c r="D24" s="1"/>
      <x:c r="E24" s="1"/>
      <x:c r="F24" s="1"/>
      <x:c r="G24" s="1"/>
    </x:row>
    <x:row r="25">
      <x:c r="A25" s="1"/>
      <x:c r="B25" s="1"/>
      <x:c r="C25" s="1"/>
      <x:c r="D25" s="1"/>
      <x:c r="E25" s="1"/>
      <x:c r="F25" s="1"/>
      <x:c r="G25" s="1"/>
    </x:row>
  </x:sheetData>
  <x:mergeCells>
    <x:mergeCell ref="A1:G2"/>
    <x:mergeCell ref="A3:G3"/>
  </x:mergeCells>
  <x:conditionalFormatting sqref="G8:G13">
    <x:cfRule type="expression" dxfId="15" priority="5">
      <x:formula>G8="OK"</x:formula>
    </x:cfRule>
    <x:cfRule type="expression" dxfId="14" priority="6">
      <x:formula>G8="Nicht OK"</x:formula>
    </x:cfRule>
    <x:cfRule type="expression" dxfId="13" priority="7">
      <x:formula>G8="Nicht geprüft"</x:formula>
    </x:cfRule>
    <x:cfRule type="expression" dxfId="12" priority="8">
      <x:formula>G8="n. a."</x:formula>
    </x:cfRule>
  </x:conditionalFormatting>
  <x:conditionalFormatting sqref="G8:G22">
    <x:cfRule type="expression" dxfId="11" priority="1">
      <x:formula>G8="OK"</x:formula>
    </x:cfRule>
    <x:cfRule type="expression" dxfId="10" priority="2">
      <x:formula>G8="Nicht OK"</x:formula>
    </x:cfRule>
    <x:cfRule type="expression" dxfId="9" priority="3">
      <x:formula>G8="Nicht geprüft"</x:formula>
    </x:cfRule>
    <x:cfRule type="expression" dxfId="8" priority="4">
      <x:formula>G8="n. a."</x:formula>
    </x:cfRule>
  </x:conditionalFormatting>
  <x:dataValidations count="1">
    <x:dataValidation type="list" sqref="G8:G22">
      <x:formula1>"Nicht geprüft,OK,Nicht OK,n. a."</x:formula1>
    </x:dataValidation>
  </x:dataValidations>
  <x:pageMargins left="0.7" right="0.7" top="0.75" bottom="0.75" header="0.3" footer="0.3"/>
  <x:tableParts count="1">
    <x:tablePart xmlns:r="http://schemas.openxmlformats.org/officeDocument/2006/relationships" r:id="Rff0e8f085b3a4f96"/>
  </x:tableParts>
</x:worksheet>
</file>

<file path=xl/worksheets/sheet3.xml><?xml version="1.0" encoding="utf-8"?>
<x:worksheet xmlns:x="http://schemas.openxmlformats.org/spreadsheetml/2006/main">
  <x:sheetViews>
    <x:sheetView showGridLines="0" workbookViewId="0"/>
  </x:sheetViews>
  <x:sheetFormatPr baseColWidth="10" defaultColWidth="9" defaultRowHeight="14.25"/>
  <x:cols>
    <x:col min="1" max="1" width="9" customWidth="1"/>
    <x:col min="2" max="2" width="18" customWidth="1"/>
    <x:col min="3" max="3" width="42" customWidth="1"/>
    <x:col min="4" max="4" width="52" customWidth="1"/>
    <x:col min="5" max="5" width="18" customWidth="1"/>
    <x:col min="6" max="6" width="46" customWidth="1"/>
    <x:col min="7" max="7" width="28" customWidth="1"/>
    <x:col min="8" max="8" width="14" customWidth="1"/>
    <x:col min="9" max="9" width="19" customWidth="1"/>
    <x:col min="10" max="10" width="22" customWidth="1"/>
    <x:col min="11" max="11" width="34" customWidth="1"/>
  </x:cols>
  <x:sheetData>
    <x:row r="1" ht="33.95000076293945" customHeight="1">
      <x:c r="A1" s="102" t="str">
        <x:v>Eingabe- und Ausgabedokumente – Kapitel 7.1</x:v>
      </x:c>
      <x:c r="B1" s="89"/>
      <x:c r="C1" s="89"/>
      <x:c r="D1" s="89"/>
      <x:c r="E1" s="89"/>
      <x:c r="F1" s="89"/>
      <x:c r="G1" s="89"/>
      <x:c r="H1" s="89"/>
      <x:c r="I1" s="89"/>
      <x:c r="J1" s="89"/>
      <x:c r="K1" s="89"/>
    </x:row>
    <x:row r="2" ht="33.95000076293945" customHeight="1">
      <x:c r="A2" s="102"/>
      <x:c r="B2" s="89"/>
      <x:c r="C2" s="89"/>
      <x:c r="D2" s="89"/>
      <x:c r="E2" s="89"/>
      <x:c r="F2" s="89"/>
      <x:c r="G2" s="89"/>
      <x:c r="H2" s="89"/>
      <x:c r="I2" s="89"/>
      <x:c r="J2" s="89"/>
      <x:c r="K2" s="89"/>
    </x:row>
    <x:row r="3">
      <x:c r="A3" s="90" t="str">
        <x:v>Normnahes Dokumentenregister mit Bezug zu Prüfpunkt und Normkapitel. Gelbe Zellen werden projektspezifisch ausgefüllt.</x:v>
      </x:c>
      <x:c r="B3" s="90"/>
      <x:c r="C3" s="90"/>
      <x:c r="D3" s="90"/>
      <x:c r="E3" s="90"/>
      <x:c r="F3" s="90"/>
      <x:c r="G3" s="90"/>
      <x:c r="H3" s="90"/>
      <x:c r="I3" s="90"/>
      <x:c r="J3" s="90"/>
      <x:c r="K3" s="90"/>
    </x:row>
    <x:row r="4">
      <x:c r="A4" s="83"/>
      <x:c r="B4" s="83"/>
      <x:c r="C4" s="83"/>
      <x:c r="D4" s="83"/>
      <x:c r="E4" s="83"/>
      <x:c r="F4" s="83"/>
      <x:c r="G4" s="83"/>
      <x:c r="H4" s="83"/>
      <x:c r="I4" s="83"/>
      <x:c r="J4" s="83"/>
      <x:c r="K4" s="83"/>
    </x:row>
    <x:row r="5" ht="15">
      <x:c r="A5" s="44" t="str">
        <x:v>Dokumente</x:v>
      </x:c>
      <x:c r="B5" s="44" t="n">
        <x:f>COUNTA(A8:A19)</x:f>
        <x:v>12</x:v>
      </x:c>
      <x:c r="C5" s="44"/>
      <x:c r="D5" s="44" t="str">
        <x:v>Eingaben</x:v>
      </x:c>
      <x:c r="E5" s="44" t="n">
        <x:f>COUNTIF(B8:B19,"Eingabe")</x:f>
        <x:v>1</x:v>
      </x:c>
      <x:c r="F5" s="44" t="str">
        <x:v>Ausgaben</x:v>
      </x:c>
      <x:c r="G5" s="44" t="n">
        <x:f>COUNTIF(B8:B19,"Ausgabe")</x:f>
        <x:v>11</x:v>
      </x:c>
      <x:c r="H5" s="44" t="str">
        <x:v>Geprüft / freigegeben</x:v>
      </x:c>
      <x:c r="I5" s="44" t="n">
        <x:f>COUNTIF(I8:I19,"Geprüft / freigegeben")</x:f>
        <x:v>0</x:v>
      </x:c>
      <x:c r="J5" s="44" t="str">
        <x:v>Nicht vorgelegt</x:v>
      </x:c>
      <x:c r="K5" s="44" t="n">
        <x:f>COUNTIF(I8:I19,"Nicht vorgelegt")</x:f>
        <x:v>12</x:v>
      </x:c>
    </x:row>
    <x:row r="6">
      <x:c r="A6" s="83"/>
      <x:c r="B6" s="83"/>
      <x:c r="C6" s="83"/>
      <x:c r="D6" s="83"/>
      <x:c r="E6" s="83"/>
      <x:c r="F6" s="83"/>
      <x:c r="G6" s="83"/>
      <x:c r="H6" s="83"/>
      <x:c r="I6" s="83"/>
      <x:c r="J6" s="83"/>
      <x:c r="K6" s="83"/>
    </x:row>
    <x:row r="7" ht="36" customHeight="1">
      <x:c r="A7" s="69" t="str">
        <x:v>ID</x:v>
      </x:c>
      <x:c r="B7" s="69" t="str">
        <x:v>Art</x:v>
      </x:c>
      <x:c r="C7" s="69" t="str">
        <x:v>Normbegriff / Dokument</x:v>
      </x:c>
      <x:c r="D7" s="69" t="str">
        <x:v>Funktion / erwarteter Inhalt</x:v>
      </x:c>
      <x:c r="E7" s="69" t="str">
        <x:v>Bezug Prüfpunkt</x:v>
      </x:c>
      <x:c r="F7" s="69" t="str">
        <x:v>Normreferenz</x:v>
      </x:c>
      <x:c r="G7" s="69" t="str">
        <x:v>Dokumentkennung / Referenz</x:v>
      </x:c>
      <x:c r="H7" s="69" t="str">
        <x:v>Version / Index</x:v>
      </x:c>
      <x:c r="I7" s="69" t="str">
        <x:v>Status</x:v>
      </x:c>
      <x:c r="J7" s="69" t="str">
        <x:v>Verantwortlich</x:v>
      </x:c>
      <x:c r="K7" s="69" t="str">
        <x:v>Ablageort / Link</x:v>
      </x:c>
    </x:row>
    <x:row r="8" ht="68" customHeight="1">
      <x:c r="A8" s="91" t="str">
        <x:v>D01</x:v>
      </x:c>
      <x:c r="B8" s="91" t="str">
        <x:v>Eingabe</x:v>
      </x:c>
      <x:c r="C8" s="92" t="str">
        <x:v>Vorgaben des Gesamt-Sicherheitslebenszyklus</x:v>
      </x:c>
      <x:c r="D8" s="92" t="str">
        <x:v>Stellt die übergeordneten Ziele und die Struktur des Gesamt-Sicherheitslebenszyklus bereit.</x:v>
      </x:c>
      <x:c r="E8" s="91" t="str">
        <x:v>F1</x:v>
      </x:c>
      <x:c r="F8" s="92" t="str">
        <x:v>IEC 61508-2, 7.1.1.1; IEC 61508-1</x:v>
      </x:c>
      <x:c r="G8" s="85"/>
      <x:c r="H8" s="94"/>
      <x:c r="I8" s="94" t="str">
        <x:v>Nicht vorgelegt</x:v>
      </x:c>
      <x:c r="J8" s="85"/>
      <x:c r="K8" s="85"/>
    </x:row>
    <x:row r="9" ht="68" customHeight="1">
      <x:c r="A9" s="91" t="str">
        <x:v>D02</x:v>
      </x:c>
      <x:c r="B9" s="91" t="str">
        <x:v>Ausgabe</x:v>
      </x:c>
      <x:c r="C9" s="92" t="str">
        <x:v>Plan des Sicherheitslebenszyklus des E/E/PE-Systems</x:v>
      </x:c>
      <x:c r="D9" s="92" t="str">
        <x:v>Legt den anzuwendenden Lebenszyklus und seine Phasen für das E/E/PE-System fest.</x:v>
      </x:c>
      <x:c r="E9" s="91" t="str">
        <x:v>F1, Z1, 1</x:v>
      </x:c>
      <x:c r="F9" s="92" t="str">
        <x:v>IEC 61508-2, 7.1.2.1 und 7.1.3.1; Bild 2</x:v>
      </x:c>
      <x:c r="G9" s="85"/>
      <x:c r="H9" s="94"/>
      <x:c r="I9" s="94" t="str">
        <x:v>Nicht vorgelegt</x:v>
      </x:c>
      <x:c r="J9" s="85"/>
      <x:c r="K9" s="85"/>
    </x:row>
    <x:row r="10" ht="68" customHeight="1">
      <x:c r="A10" s="91" t="str">
        <x:v>D03</x:v>
      </x:c>
      <x:c r="B10" s="91" t="str">
        <x:v>Ausgabe</x:v>
      </x:c>
      <x:c r="C10" s="92" t="str">
        <x:v>Phasenübersicht mit Eingaben und Ergebnissen</x:v>
      </x:c>
      <x:c r="D10" s="92" t="str">
        <x:v>Ordnet jeder Phase Ziel, Anwendungsbereich, Anforderungsabschnitt, Eingaben und Ergebnisse zu.</x:v>
      </x:c>
      <x:c r="E10" s="91" t="str">
        <x:v>F2, 3</x:v>
      </x:c>
      <x:c r="F10" s="92" t="str">
        <x:v>IEC 61508-2, 7.1.1.2 und 7.1.3.3; Tabelle 1</x:v>
      </x:c>
      <x:c r="G10" s="85"/>
      <x:c r="H10" s="94"/>
      <x:c r="I10" s="94" t="str">
        <x:v>Nicht vorgelegt</x:v>
      </x:c>
      <x:c r="J10" s="85"/>
      <x:c r="K10" s="85"/>
    </x:row>
    <x:row r="11" ht="68" customHeight="1">
      <x:c r="A11" s="91" t="str">
        <x:v>D04</x:v>
      </x:c>
      <x:c r="B11" s="91" t="str">
        <x:v>Ausgabe</x:v>
      </x:c>
      <x:c r="C11" s="92" t="str">
        <x:v>Nachweis der systematischen Lebenszyklusstruktur</x:v>
      </x:c>
      <x:c r="D11" s="92" t="str">
        <x:v>Begründet, dass alle erforderlichen Phasen vollständig und systematisch berücksichtigt sind.</x:v>
      </x:c>
      <x:c r="E11" s="91" t="str">
        <x:v>Z1, 1</x:v>
      </x:c>
      <x:c r="F11" s="92" t="str">
        <x:v>IEC 61508-2, 7.1.2.1 und 7.1.3.1</x:v>
      </x:c>
      <x:c r="G11" s="85"/>
      <x:c r="H11" s="94"/>
      <x:c r="I11" s="94" t="str">
        <x:v>Nicht vorgelegt</x:v>
      </x:c>
      <x:c r="J11" s="85"/>
      <x:c r="K11" s="85"/>
    </x:row>
    <x:row r="12" ht="68" customHeight="1">
      <x:c r="A12" s="91" t="str">
        <x:v>D05</x:v>
      </x:c>
      <x:c r="B12" s="91" t="str">
        <x:v>Ausgabe</x:v>
      </x:c>
      <x:c r="C12" s="92" t="str">
        <x:v>Dokumentationsplan für sicherheitsrelevante Informationen</x:v>
      </x:c>
      <x:c r="D12" s="92" t="str">
        <x:v>Legt Dokumente, Verantwortlichkeiten, Freigaben, Versionen und Aufbewahrung über den Lebenszyklus fest.</x:v>
      </x:c>
      <x:c r="E12" s="91" t="str">
        <x:v>Z2, 4</x:v>
      </x:c>
      <x:c r="F12" s="92" t="str">
        <x:v>IEC 61508-2, 7.1.2.2 und 7.1.3.4; IEC 61508-1, Abschnitt 5</x:v>
      </x:c>
      <x:c r="G12" s="85"/>
      <x:c r="H12" s="94"/>
      <x:c r="I12" s="94" t="str">
        <x:v>Nicht vorgelegt</x:v>
      </x:c>
      <x:c r="J12" s="85"/>
      <x:c r="K12" s="85"/>
    </x:row>
    <x:row r="13" ht="68" customHeight="1">
      <x:c r="A13" s="91" t="str">
        <x:v>D06</x:v>
      </x:c>
      <x:c r="B13" s="91" t="str">
        <x:v>Ausgabe</x:v>
      </x:c>
      <x:c r="C13" s="92" t="str">
        <x:v>Festlegung und Begründung eines abweichenden Lebenszyklus</x:v>
      </x:c>
      <x:c r="D13" s="92" t="str">
        <x:v>Dokumentiert einen abweichenden Lebenszyklus und weist die Erfüllung sämtlicher Ziele und Anforderungen nach.</x:v>
      </x:c>
      <x:c r="E13" s="91" t="str">
        <x:v>1, 2</x:v>
      </x:c>
      <x:c r="F13" s="92" t="str">
        <x:v>IEC 61508-2, 7.1.3.1 und 7.1.3.2; IEC 61508-1, Abschnitt 6</x:v>
      </x:c>
      <x:c r="G13" s="85"/>
      <x:c r="H13" s="94"/>
      <x:c r="I13" s="94" t="str">
        <x:v>Nicht vorgelegt</x:v>
      </x:c>
      <x:c r="J13" s="85"/>
      <x:c r="K13" s="85"/>
    </x:row>
    <x:row r="14" ht="68" customHeight="1">
      <x:c r="A14" s="91" t="str">
        <x:v>D07</x:v>
      </x:c>
      <x:c r="B14" s="91" t="str">
        <x:v>Ausgabe</x:v>
      </x:c>
      <x:c r="C14" s="92" t="str">
        <x:v>ASIC-Entwicklungslebenszyklus</x:v>
      </x:c>
      <x:c r="D14" s="92" t="str">
        <x:v>Legt bei Verwendung von ASICs den Entwicklungslebenszyklus und das V-Modell fest.</x:v>
      </x:c>
      <x:c r="E14" s="91" t="str">
        <x:v>1</x:v>
      </x:c>
      <x:c r="F14" s="92" t="str">
        <x:v>IEC 61508-2, 7.1.3.1; Bild 3; IEC 61508-4, 3.2.15</x:v>
      </x:c>
      <x:c r="G14" s="85"/>
      <x:c r="H14" s="94"/>
      <x:c r="I14" s="94" t="str">
        <x:v>Nicht vorgelegt</x:v>
      </x:c>
      <x:c r="J14" s="85"/>
      <x:c r="K14" s="85"/>
    </x:row>
    <x:row r="15" ht="68" customHeight="1">
      <x:c r="A15" s="91" t="str">
        <x:v>D08</x:v>
      </x:c>
      <x:c r="B15" s="91" t="str">
        <x:v>Ausgabe</x:v>
      </x:c>
      <x:c r="C15" s="92" t="str">
        <x:v>Plan für das Management der funktionalen Sicherheit</x:v>
      </x:c>
      <x:c r="D15" s="92" t="str">
        <x:v>Ordnet Managementtätigkeiten parallel zu allen Lebenszyklusphasen zu.</x:v>
      </x:c>
      <x:c r="E15" s="91" t="str">
        <x:v>2, 4</x:v>
      </x:c>
      <x:c r="F15" s="92" t="str">
        <x:v>IEC 61508-2, 7.1.3.2 und 7.1.3.4; IEC 61508-1, Abschnitt 6</x:v>
      </x:c>
      <x:c r="G15" s="85"/>
      <x:c r="H15" s="94"/>
      <x:c r="I15" s="94" t="str">
        <x:v>Nicht vorgelegt</x:v>
      </x:c>
      <x:c r="J15" s="85"/>
      <x:c r="K15" s="85"/>
    </x:row>
    <x:row r="16" ht="68" customHeight="1">
      <x:c r="A16" s="91" t="str">
        <x:v>D09</x:v>
      </x:c>
      <x:c r="B16" s="91" t="str">
        <x:v>Ausgabe</x:v>
      </x:c>
      <x:c r="C16" s="92" t="str">
        <x:v>Tätigkeitsstruktur je Lebenszyklusphase</x:v>
      </x:c>
      <x:c r="D16" s="92" t="str">
        <x:v>Unterteilt jede Phase in elementare Tätigkeiten mit Anwendungsbereich, Eingaben und Ergebnissen.</x:v>
      </x:c>
      <x:c r="E16" s="91" t="str">
        <x:v>F2, 3, 5</x:v>
      </x:c>
      <x:c r="F16" s="92" t="str">
        <x:v>IEC 61508-2, 7.1.3.3; Tabelle 1</x:v>
      </x:c>
      <x:c r="G16" s="85"/>
      <x:c r="H16" s="94"/>
      <x:c r="I16" s="94" t="str">
        <x:v>Nicht vorgelegt</x:v>
      </x:c>
      <x:c r="J16" s="85"/>
      <x:c r="K16" s="85"/>
    </x:row>
    <x:row r="17" ht="68" customHeight="1">
      <x:c r="A17" s="91" t="str">
        <x:v>D10</x:v>
      </x:c>
      <x:c r="B17" s="91" t="str">
        <x:v>Ausgabe</x:v>
      </x:c>
      <x:c r="C17" s="92" t="str">
        <x:v>Register der Phasenergebnisse</x:v>
      </x:c>
      <x:c r="D17" s="92" t="str">
        <x:v>Erfasst und versioniert die Ergebnisse jeder Lebenszyklusphase.</x:v>
      </x:c>
      <x:c r="E17" s="91" t="str">
        <x:v>Z2, 4, 5</x:v>
      </x:c>
      <x:c r="F17" s="92" t="str">
        <x:v>IEC 61508-2, 7.1.3.4; IEC 61508-1, Abschnitt 5</x:v>
      </x:c>
      <x:c r="G17" s="85"/>
      <x:c r="H17" s="94"/>
      <x:c r="I17" s="94" t="str">
        <x:v>Nicht vorgelegt</x:v>
      </x:c>
      <x:c r="J17" s="85"/>
      <x:c r="K17" s="85"/>
    </x:row>
    <x:row r="18" ht="68" customHeight="1">
      <x:c r="A18" s="91" t="str">
        <x:v>D11</x:v>
      </x:c>
      <x:c r="B18" s="91" t="str">
        <x:v>Ausgabe</x:v>
      </x:c>
      <x:c r="C18" s="92" t="str">
        <x:v>Übereinstimmungsnachweis für die Phasenergebnisse</x:v>
      </x:c>
      <x:c r="D18" s="92" t="str">
        <x:v>Weist für jede Phase nach, dass Ergebnisse, Ziele und Anforderungen übereinstimmen.</x:v>
      </x:c>
      <x:c r="E18" s="91" t="str">
        <x:v>5</x:v>
      </x:c>
      <x:c r="F18" s="92" t="str">
        <x:v>IEC 61508-2, 7.1.3.5 und 7.2 bis 7.9</x:v>
      </x:c>
      <x:c r="G18" s="85"/>
      <x:c r="H18" s="94"/>
      <x:c r="I18" s="94" t="str">
        <x:v>Nicht vorgelegt</x:v>
      </x:c>
      <x:c r="J18" s="85"/>
      <x:c r="K18" s="85"/>
    </x:row>
    <x:row r="19" ht="68" customHeight="1">
      <x:c r="A19" s="91" t="str">
        <x:v>D12</x:v>
      </x:c>
      <x:c r="B19" s="91" t="str">
        <x:v>Ausgabe</x:v>
      </x:c>
      <x:c r="C19" s="92" t="str">
        <x:v>Schnittstellen- und Zuordnungsnachweis IEC 61508-2/-3</x:v>
      </x:c>
      <x:c r="D19" s="92" t="str">
        <x:v>Dokumentiert die Beziehungen zwischen System-, ASIC- und Softwarelebenszyklus.</x:v>
      </x:c>
      <x:c r="E19" s="91" t="str">
        <x:v>1</x:v>
      </x:c>
      <x:c r="F19" s="92" t="str">
        <x:v>IEC 61508-2, 7.1.3.1; Bild 4; IEC 61508-3</x:v>
      </x:c>
      <x:c r="G19" s="85"/>
      <x:c r="H19" s="94"/>
      <x:c r="I19" s="94" t="str">
        <x:v>Nicht vorgelegt</x:v>
      </x:c>
      <x:c r="J19" s="85"/>
      <x:c r="K19" s="85"/>
    </x:row>
    <x:row r="20" ht="64" customHeight="1">
      <x:c r="A20" s="91"/>
      <x:c r="B20" s="91"/>
      <x:c r="C20" s="92"/>
      <x:c r="D20" s="92"/>
      <x:c r="E20" s="91"/>
      <x:c r="F20" s="92"/>
      <x:c r="G20" s="85"/>
      <x:c r="H20" s="94"/>
      <x:c r="I20" s="94"/>
      <x:c r="J20" s="85"/>
      <x:c r="K20" s="85"/>
    </x:row>
    <x:row r="21" ht="64" customHeight="1">
      <x:c r="A21" s="91"/>
      <x:c r="B21" s="91"/>
      <x:c r="C21" s="92"/>
      <x:c r="D21" s="92"/>
      <x:c r="E21" s="91"/>
      <x:c r="F21" s="92"/>
      <x:c r="G21" s="85"/>
      <x:c r="H21" s="94"/>
      <x:c r="I21" s="94"/>
      <x:c r="J21" s="85"/>
      <x:c r="K21" s="85"/>
    </x:row>
    <x:row r="22" ht="64" customHeight="1">
      <x:c r="A22" s="91"/>
      <x:c r="B22" s="91"/>
      <x:c r="C22" s="92"/>
      <x:c r="D22" s="92"/>
      <x:c r="E22" s="91"/>
      <x:c r="F22" s="92"/>
      <x:c r="G22" s="85"/>
      <x:c r="H22" s="94"/>
      <x:c r="I22" s="94"/>
      <x:c r="J22" s="85"/>
      <x:c r="K22" s="85"/>
    </x:row>
    <x:row r="23" ht="64" customHeight="1">
      <x:c r="A23" s="91"/>
      <x:c r="B23" s="91"/>
      <x:c r="C23" s="92"/>
      <x:c r="D23" s="92"/>
      <x:c r="E23" s="91"/>
      <x:c r="F23" s="92"/>
      <x:c r="G23" s="85"/>
      <x:c r="H23" s="94"/>
      <x:c r="I23" s="94"/>
      <x:c r="J23" s="85"/>
      <x:c r="K23" s="85"/>
    </x:row>
    <x:row r="24" ht="64" customHeight="1">
      <x:c r="A24" s="91"/>
      <x:c r="B24" s="91"/>
      <x:c r="C24" s="92"/>
      <x:c r="D24" s="92"/>
      <x:c r="E24" s="91"/>
      <x:c r="F24" s="92"/>
      <x:c r="G24" s="85"/>
      <x:c r="H24" s="94"/>
      <x:c r="I24" s="94"/>
      <x:c r="J24" s="85"/>
      <x:c r="K24" s="85"/>
    </x:row>
    <x:row r="25" ht="64" customHeight="1">
      <x:c r="A25" s="91"/>
      <x:c r="B25" s="91"/>
      <x:c r="C25" s="92"/>
      <x:c r="D25" s="92"/>
      <x:c r="E25" s="91"/>
      <x:c r="F25" s="92"/>
      <x:c r="G25" s="85"/>
      <x:c r="H25" s="94"/>
      <x:c r="I25" s="94"/>
      <x:c r="J25" s="85"/>
      <x:c r="K25" s="85"/>
    </x:row>
    <x:row r="26" ht="64" customHeight="1">
      <x:c r="A26" s="91"/>
      <x:c r="B26" s="91"/>
      <x:c r="C26" s="92"/>
      <x:c r="D26" s="92"/>
      <x:c r="E26" s="91"/>
      <x:c r="F26" s="92"/>
      <x:c r="G26" s="85"/>
      <x:c r="H26" s="94"/>
      <x:c r="I26" s="94"/>
      <x:c r="J26" s="85"/>
      <x:c r="K26" s="85"/>
    </x:row>
    <x:row r="27" ht="64" customHeight="1">
      <x:c r="A27" s="91"/>
      <x:c r="B27" s="91"/>
      <x:c r="C27" s="92"/>
      <x:c r="D27" s="92"/>
      <x:c r="E27" s="91"/>
      <x:c r="F27" s="92"/>
      <x:c r="G27" s="85"/>
      <x:c r="H27" s="94"/>
      <x:c r="I27" s="94"/>
      <x:c r="J27" s="85"/>
      <x:c r="K27" s="85"/>
    </x:row>
    <x:row r="28" ht="56.099998474121094" customHeight="1">
      <x:c r="A28" s="91"/>
      <x:c r="B28" s="91"/>
      <x:c r="C28" s="92"/>
      <x:c r="D28" s="92"/>
      <x:c r="E28" s="91"/>
      <x:c r="F28" s="92"/>
      <x:c r="G28" s="85"/>
      <x:c r="H28" s="94"/>
      <x:c r="I28" s="94"/>
      <x:c r="J28" s="85"/>
      <x:c r="K28" s="85"/>
    </x:row>
    <x:row r="29" ht="56.099998474121094" customHeight="1">
      <x:c r="A29" s="91"/>
      <x:c r="B29" s="91"/>
      <x:c r="C29" s="92"/>
      <x:c r="D29" s="92"/>
      <x:c r="E29" s="91"/>
      <x:c r="F29" s="92"/>
      <x:c r="G29" s="85"/>
      <x:c r="H29" s="94"/>
      <x:c r="I29" s="94"/>
      <x:c r="J29" s="85"/>
      <x:c r="K29" s="85"/>
    </x:row>
    <x:row r="30" ht="56.099998474121094" customHeight="1">
      <x:c r="A30" s="91"/>
      <x:c r="B30" s="91"/>
      <x:c r="C30" s="92"/>
      <x:c r="D30" s="92"/>
      <x:c r="E30" s="91"/>
      <x:c r="F30" s="92"/>
      <x:c r="G30" s="85"/>
      <x:c r="H30" s="94"/>
      <x:c r="I30" s="94"/>
      <x:c r="J30" s="85"/>
      <x:c r="K30" s="85"/>
    </x:row>
    <x:row r="31" ht="56.099998474121094" customHeight="1">
      <x:c r="A31" s="91"/>
      <x:c r="B31" s="91"/>
      <x:c r="C31" s="92"/>
      <x:c r="D31" s="92"/>
      <x:c r="E31" s="91"/>
      <x:c r="F31" s="92"/>
      <x:c r="G31" s="85"/>
      <x:c r="H31" s="94"/>
      <x:c r="I31" s="94"/>
      <x:c r="J31" s="85"/>
      <x:c r="K31" s="85"/>
    </x:row>
    <x:row r="32" ht="56.099998474121094" customHeight="1">
      <x:c r="A32" s="91"/>
      <x:c r="B32" s="91"/>
      <x:c r="C32" s="92"/>
      <x:c r="D32" s="92"/>
      <x:c r="E32" s="91"/>
      <x:c r="F32" s="92"/>
      <x:c r="G32" s="85"/>
      <x:c r="H32" s="94"/>
      <x:c r="I32" s="94"/>
      <x:c r="J32" s="85"/>
      <x:c r="K32" s="85"/>
    </x:row>
    <x:row r="33" ht="56.099998474121094" customHeight="1">
      <x:c r="A33" s="91"/>
      <x:c r="B33" s="91"/>
      <x:c r="C33" s="92"/>
      <x:c r="D33" s="92"/>
      <x:c r="E33" s="91"/>
      <x:c r="F33" s="92"/>
      <x:c r="G33" s="85"/>
      <x:c r="H33" s="94"/>
      <x:c r="I33" s="94"/>
      <x:c r="J33" s="85"/>
      <x:c r="K33" s="85"/>
    </x:row>
    <x:row r="34" ht="56.099998474121094" customHeight="1">
      <x:c r="A34" s="91"/>
      <x:c r="B34" s="91"/>
      <x:c r="C34" s="92"/>
      <x:c r="D34" s="92"/>
      <x:c r="E34" s="91"/>
      <x:c r="F34" s="92"/>
      <x:c r="G34" s="85"/>
      <x:c r="H34" s="94"/>
      <x:c r="I34" s="94"/>
      <x:c r="J34" s="85"/>
      <x:c r="K34" s="85"/>
    </x:row>
    <x:row r="35" ht="56.099998474121094" customHeight="1">
      <x:c r="A35" s="91"/>
      <x:c r="B35" s="91"/>
      <x:c r="C35" s="92"/>
      <x:c r="D35" s="92"/>
      <x:c r="E35" s="91"/>
      <x:c r="F35" s="92"/>
      <x:c r="G35" s="85"/>
      <x:c r="H35" s="94"/>
      <x:c r="I35" s="94"/>
      <x:c r="J35" s="85"/>
      <x:c r="K35" s="85"/>
    </x:row>
    <x:row r="36" ht="56.099998474121094" customHeight="1">
      <x:c r="A36" s="91"/>
      <x:c r="B36" s="91"/>
      <x:c r="C36" s="92"/>
      <x:c r="D36" s="92"/>
      <x:c r="E36" s="91"/>
      <x:c r="F36" s="92"/>
      <x:c r="G36" s="85"/>
      <x:c r="H36" s="94"/>
      <x:c r="I36" s="94"/>
      <x:c r="J36" s="85"/>
      <x:c r="K36" s="85"/>
    </x:row>
    <x:row r="37" ht="56.099998474121094" customHeight="1">
      <x:c r="A37" s="91"/>
      <x:c r="B37" s="91"/>
      <x:c r="C37" s="92"/>
      <x:c r="D37" s="92"/>
      <x:c r="E37" s="91"/>
      <x:c r="F37" s="92"/>
      <x:c r="G37" s="85"/>
      <x:c r="H37" s="94"/>
      <x:c r="I37" s="94"/>
      <x:c r="J37" s="85"/>
      <x:c r="K37" s="85"/>
    </x:row>
    <x:row r="38" ht="56.099998474121094" customHeight="1">
      <x:c r="A38" s="91"/>
      <x:c r="B38" s="91"/>
      <x:c r="C38" s="92"/>
      <x:c r="D38" s="92"/>
      <x:c r="E38" s="91"/>
      <x:c r="F38" s="92"/>
      <x:c r="G38" s="85"/>
      <x:c r="H38" s="94"/>
      <x:c r="I38" s="94"/>
      <x:c r="J38" s="85"/>
      <x:c r="K38" s="85"/>
    </x:row>
    <x:row r="39" ht="56.099998474121094" customHeight="1">
      <x:c r="A39" s="91"/>
      <x:c r="B39" s="91"/>
      <x:c r="C39" s="92"/>
      <x:c r="D39" s="92"/>
      <x:c r="E39" s="91"/>
      <x:c r="F39" s="92"/>
      <x:c r="G39" s="85"/>
      <x:c r="H39" s="94"/>
      <x:c r="I39" s="94"/>
      <x:c r="J39" s="85"/>
      <x:c r="K39" s="85"/>
    </x:row>
    <x:row r="40" ht="56.099998474121094" customHeight="1">
      <x:c r="A40" s="91"/>
      <x:c r="B40" s="91"/>
      <x:c r="C40" s="92"/>
      <x:c r="D40" s="92"/>
      <x:c r="E40" s="91"/>
      <x:c r="F40" s="92"/>
      <x:c r="G40" s="85"/>
      <x:c r="H40" s="94"/>
      <x:c r="I40" s="94"/>
      <x:c r="J40" s="85"/>
      <x:c r="K40" s="85"/>
    </x:row>
    <x:row r="41" ht="56.099998474121094" customHeight="1">
      <x:c r="A41" s="91"/>
      <x:c r="B41" s="91"/>
      <x:c r="C41" s="92"/>
      <x:c r="D41" s="92"/>
      <x:c r="E41" s="91"/>
      <x:c r="F41" s="92"/>
      <x:c r="G41" s="85"/>
      <x:c r="H41" s="94"/>
      <x:c r="I41" s="94"/>
      <x:c r="J41" s="85"/>
      <x:c r="K41" s="85"/>
    </x:row>
    <x:row r="42" ht="56.099998474121094" customHeight="1">
      <x:c r="A42" s="91"/>
      <x:c r="B42" s="91"/>
      <x:c r="C42" s="92"/>
      <x:c r="D42" s="92"/>
      <x:c r="E42" s="91"/>
      <x:c r="F42" s="92"/>
      <x:c r="G42" s="85"/>
      <x:c r="H42" s="94"/>
      <x:c r="I42" s="94"/>
      <x:c r="J42" s="85"/>
      <x:c r="K42" s="85"/>
    </x:row>
    <x:row r="43" ht="56.099998474121094" customHeight="1">
      <x:c r="A43" s="91"/>
      <x:c r="B43" s="91"/>
      <x:c r="C43" s="92"/>
      <x:c r="D43" s="92"/>
      <x:c r="E43" s="91"/>
      <x:c r="F43" s="92"/>
      <x:c r="G43" s="85"/>
      <x:c r="H43" s="94"/>
      <x:c r="I43" s="94"/>
      <x:c r="J43" s="85"/>
      <x:c r="K43" s="85"/>
    </x:row>
    <x:row r="44" ht="56.099998474121094" customHeight="1">
      <x:c r="A44" s="91"/>
      <x:c r="B44" s="91"/>
      <x:c r="C44" s="92"/>
      <x:c r="D44" s="92"/>
      <x:c r="E44" s="91"/>
      <x:c r="F44" s="92"/>
      <x:c r="G44" s="85"/>
      <x:c r="H44" s="94"/>
      <x:c r="I44" s="94"/>
      <x:c r="J44" s="85"/>
      <x:c r="K44" s="85"/>
    </x:row>
    <x:row r="45">
      <x:c r="A45" s="95"/>
      <x:c r="B45" s="95"/>
      <x:c r="C45" s="95"/>
      <x:c r="D45" s="95"/>
      <x:c r="E45" s="95"/>
      <x:c r="F45" s="95"/>
      <x:c r="G45" s="95"/>
      <x:c r="H45" s="95"/>
      <x:c r="I45" s="95"/>
      <x:c r="J45" s="95"/>
      <x:c r="K45" s="95"/>
    </x:row>
  </x:sheetData>
  <x:mergeCells>
    <x:mergeCell ref="A1:K2"/>
    <x:mergeCell ref="A3:K3"/>
  </x:mergeCells>
  <x:conditionalFormatting sqref="B8:B44">
    <x:cfRule type="expression" dxfId="7" priority="1">
      <x:formula>B8="Eingabe"</x:formula>
    </x:cfRule>
    <x:cfRule type="expression" dxfId="6" priority="2">
      <x:formula>B8="Ausgabe"</x:formula>
    </x:cfRule>
    <x:cfRule type="expression" dxfId="5" priority="3">
      <x:formula>B8="Eingabe / Ausgabe"</x:formula>
    </x:cfRule>
  </x:conditionalFormatting>
  <x:conditionalFormatting sqref="I8:I44">
    <x:cfRule type="expression" dxfId="4" priority="4">
      <x:formula>I8="Geprüft"</x:formula>
    </x:cfRule>
    <x:cfRule type="expression" dxfId="3" priority="5">
      <x:formula>I8="Freigegeben"</x:formula>
    </x:cfRule>
    <x:cfRule type="expression" dxfId="2" priority="6">
      <x:formula>I8="Nicht vorgelegt"</x:formula>
    </x:cfRule>
  </x:conditionalFormatting>
  <x:dataValidations count="1">
    <x:dataValidation type="list" sqref="I8:I44">
      <x:formula1>"Nicht vorgelegt,Vorgelegt,In Prüfung,Geprüft,Freigegeben,Nicht anwendbar"</x:formula1>
    </x:dataValidation>
  </x:dataValidations>
  <x:pageMargins left="0.7" right="0.7" top="0.75" bottom="0.75" header="0.3" footer="0.3"/>
  <x:tableParts count="1">
    <x:tablePart xmlns:r="http://schemas.openxmlformats.org/officeDocument/2006/relationships" r:id="R20d9506a122847b8"/>
  </x:tableParts>
</x:worksheet>
</file>

<file path=xl/worksheets/sheet4.xml><?xml version="1.0" encoding="utf-8"?>
<x:worksheet xmlns:x="http://schemas.openxmlformats.org/spreadsheetml/2006/main">
  <x:sheetViews>
    <x:sheetView showGridLines="0" workbookViewId="0"/>
  </x:sheetViews>
  <x:sheetFormatPr baseColWidth="10" defaultColWidth="9" defaultRowHeight="14.25"/>
  <x:cols>
    <x:col min="1" max="1" width="10" customWidth="1"/>
    <x:col min="2" max="2" width="8" customWidth="1"/>
    <x:col min="3" max="3" width="58" customWidth="1"/>
    <x:col min="4" max="4" width="18" customWidth="1"/>
    <x:col min="5" max="5" width="22" customWidth="1"/>
    <x:col min="6" max="6" width="14" customWidth="1"/>
    <x:col min="7" max="7" width="20" customWidth="1"/>
  </x:cols>
  <x:sheetData>
    <x:row r="1" ht="33.95000076293945" customHeight="1">
      <x:c r="A1" s="102" t="s">
        <x:v>25</x:v>
      </x:c>
      <x:c r="B1" s="89" t="s">
        <x:v>25</x:v>
      </x:c>
      <x:c r="C1" s="89" t="s">
        <x:v>25</x:v>
      </x:c>
      <x:c r="D1" s="89" t="s">
        <x:v>25</x:v>
      </x:c>
      <x:c r="E1" s="89" t="s">
        <x:v>25</x:v>
      </x:c>
      <x:c r="F1" s="89" t="s">
        <x:v>25</x:v>
      </x:c>
      <x:c r="G1" s="89" t="s">
        <x:v>25</x:v>
      </x:c>
    </x:row>
    <x:row r="2" ht="33.95000076293945" customHeight="1">
      <x:c r="A2" s="102" t="s">
        <x:v>25</x:v>
      </x:c>
      <x:c r="B2" s="89" t="s">
        <x:v>25</x:v>
      </x:c>
      <x:c r="C2" s="89" t="s">
        <x:v>25</x:v>
      </x:c>
      <x:c r="D2" s="89" t="s">
        <x:v>25</x:v>
      </x:c>
      <x:c r="E2" s="89" t="s">
        <x:v>25</x:v>
      </x:c>
      <x:c r="F2" s="89" t="s">
        <x:v>25</x:v>
      </x:c>
      <x:c r="G2" s="89" t="s">
        <x:v>25</x:v>
      </x:c>
    </x:row>
    <x:row r="3">
      <x:c r="A3" s="96" t="s">
        <x:v>26</x:v>
      </x:c>
      <x:c r="B3" s="96"/>
      <x:c r="C3" s="96"/>
      <x:c r="D3" s="96"/>
      <x:c r="E3" s="96"/>
      <x:c r="F3" s="96"/>
      <x:c r="G3" s="96"/>
    </x:row>
    <x:row r="4">
      <x:c r="A4" s="83"/>
      <x:c r="B4" s="83"/>
      <x:c r="C4" s="83"/>
      <x:c r="D4" s="83"/>
      <x:c r="E4" s="83"/>
      <x:c r="F4" s="83"/>
      <x:c r="G4" s="83"/>
    </x:row>
    <x:row r="5">
      <x:c r="A5" s="69" t="s">
        <x:v>27</x:v>
      </x:c>
      <x:c r="B5" s="69" t="s">
        <x:v>28</x:v>
      </x:c>
      <x:c r="C5" s="69" t="s">
        <x:v>29</x:v>
      </x:c>
      <x:c r="D5" s="69" t="s">
        <x:v>30</x:v>
      </x:c>
      <x:c r="E5" s="69" t="s">
        <x:v>31</x:v>
      </x:c>
      <x:c r="F5" s="69" t="s">
        <x:v>32</x:v>
      </x:c>
      <x:c r="G5" s="69" t="s">
        <x:v>33</x:v>
      </x:c>
    </x:row>
    <x:row r="6" ht="33.95000076293945" customHeight="1">
      <x:c r="A6" s="69" t="s">
        <x:v>34</x:v>
      </x:c>
      <x:c r="B6" s="85"/>
      <x:c r="C6" s="85"/>
      <x:c r="D6" s="85"/>
      <x:c r="E6" s="85"/>
      <x:c r="F6" s="86"/>
      <x:c r="G6" s="85" t="s">
        <x:v>35</x:v>
      </x:c>
    </x:row>
    <x:row r="7" ht="33.95000076293945" customHeight="1">
      <x:c r="A7" s="69" t="s">
        <x:v>36</x:v>
      </x:c>
      <x:c r="B7" s="85"/>
      <x:c r="C7" s="85"/>
      <x:c r="D7" s="85"/>
      <x:c r="E7" s="85"/>
      <x:c r="F7" s="86"/>
      <x:c r="G7" s="85" t="s">
        <x:v>35</x:v>
      </x:c>
    </x:row>
    <x:row r="8" ht="33.95000076293945" customHeight="1">
      <x:c r="A8" s="69" t="s">
        <x:v>37</x:v>
      </x:c>
      <x:c r="B8" s="85"/>
      <x:c r="C8" s="85"/>
      <x:c r="D8" s="85"/>
      <x:c r="E8" s="85"/>
      <x:c r="F8" s="86"/>
      <x:c r="G8" s="85" t="s">
        <x:v>35</x:v>
      </x:c>
    </x:row>
    <x:row r="9" ht="33.95000076293945" customHeight="1">
      <x:c r="A9" s="69" t="s">
        <x:v>38</x:v>
      </x:c>
      <x:c r="B9" s="85"/>
      <x:c r="C9" s="85"/>
      <x:c r="D9" s="85"/>
      <x:c r="E9" s="85"/>
      <x:c r="F9" s="86"/>
      <x:c r="G9" s="85" t="s">
        <x:v>35</x:v>
      </x:c>
    </x:row>
    <x:row r="10" ht="33.95000076293945" customHeight="1">
      <x:c r="A10" s="69" t="s">
        <x:v>39</x:v>
      </x:c>
      <x:c r="B10" s="85"/>
      <x:c r="C10" s="85"/>
      <x:c r="D10" s="85"/>
      <x:c r="E10" s="85"/>
      <x:c r="F10" s="86"/>
      <x:c r="G10" s="85" t="s">
        <x:v>35</x:v>
      </x:c>
    </x:row>
    <x:row r="11" ht="33.95000076293945" customHeight="1">
      <x:c r="A11" s="69" t="s">
        <x:v>40</x:v>
      </x:c>
      <x:c r="B11" s="85"/>
      <x:c r="C11" s="85"/>
      <x:c r="D11" s="85"/>
      <x:c r="E11" s="85"/>
      <x:c r="F11" s="86"/>
      <x:c r="G11" s="85" t="s">
        <x:v>35</x:v>
      </x:c>
    </x:row>
    <x:row r="12" ht="33.95000076293945" customHeight="1">
      <x:c r="A12" s="69" t="s">
        <x:v>41</x:v>
      </x:c>
      <x:c r="B12" s="85"/>
      <x:c r="C12" s="85"/>
      <x:c r="D12" s="85"/>
      <x:c r="E12" s="85"/>
      <x:c r="F12" s="86"/>
      <x:c r="G12" s="85" t="s">
        <x:v>35</x:v>
      </x:c>
    </x:row>
    <x:row r="13" ht="33.95000076293945" customHeight="1">
      <x:c r="A13" s="69" t="s">
        <x:v>42</x:v>
      </x:c>
      <x:c r="B13" s="85"/>
      <x:c r="C13" s="85"/>
      <x:c r="D13" s="85"/>
      <x:c r="E13" s="85"/>
      <x:c r="F13" s="86"/>
      <x:c r="G13" s="85" t="s">
        <x:v>35</x:v>
      </x:c>
    </x:row>
    <x:row r="14" ht="33.95000076293945" customHeight="1">
      <x:c r="A14" s="69" t="s">
        <x:v>43</x:v>
      </x:c>
      <x:c r="B14" s="85"/>
      <x:c r="C14" s="85"/>
      <x:c r="D14" s="85"/>
      <x:c r="E14" s="85"/>
      <x:c r="F14" s="86"/>
      <x:c r="G14" s="85" t="s">
        <x:v>35</x:v>
      </x:c>
    </x:row>
    <x:row r="15" ht="33.95000076293945" customHeight="1">
      <x:c r="A15" s="69" t="s">
        <x:v>44</x:v>
      </x:c>
      <x:c r="B15" s="85"/>
      <x:c r="C15" s="85"/>
      <x:c r="D15" s="85"/>
      <x:c r="E15" s="85"/>
      <x:c r="F15" s="86"/>
      <x:c r="G15" s="85" t="s">
        <x:v>35</x:v>
      </x:c>
    </x:row>
    <x:row r="16" ht="33.95000076293945" customHeight="1">
      <x:c r="A16" s="69" t="s">
        <x:v>45</x:v>
      </x:c>
      <x:c r="B16" s="85"/>
      <x:c r="C16" s="85"/>
      <x:c r="D16" s="85"/>
      <x:c r="E16" s="85"/>
      <x:c r="F16" s="86"/>
      <x:c r="G16" s="85" t="s">
        <x:v>35</x:v>
      </x:c>
    </x:row>
    <x:row r="17" ht="33.95000076293945" customHeight="1">
      <x:c r="A17" s="69" t="s">
        <x:v>46</x:v>
      </x:c>
      <x:c r="B17" s="85"/>
      <x:c r="C17" s="85"/>
      <x:c r="D17" s="85"/>
      <x:c r="E17" s="85"/>
      <x:c r="F17" s="86"/>
      <x:c r="G17" s="85" t="s">
        <x:v>35</x:v>
      </x:c>
    </x:row>
    <x:row r="18" ht="33.95000076293945" customHeight="1">
      <x:c r="A18" s="69" t="s">
        <x:v>47</x:v>
      </x:c>
      <x:c r="B18" s="85"/>
      <x:c r="C18" s="85"/>
      <x:c r="D18" s="85"/>
      <x:c r="E18" s="85"/>
      <x:c r="F18" s="86"/>
      <x:c r="G18" s="85" t="s">
        <x:v>35</x:v>
      </x:c>
    </x:row>
    <x:row r="19" ht="33.95000076293945" customHeight="1">
      <x:c r="A19" s="69" t="s">
        <x:v>48</x:v>
      </x:c>
      <x:c r="B19" s="85"/>
      <x:c r="C19" s="85"/>
      <x:c r="D19" s="85"/>
      <x:c r="E19" s="85"/>
      <x:c r="F19" s="86"/>
      <x:c r="G19" s="85" t="s">
        <x:v>35</x:v>
      </x:c>
    </x:row>
    <x:row r="20" ht="33.95000076293945" customHeight="1">
      <x:c r="A20" s="69" t="s">
        <x:v>49</x:v>
      </x:c>
      <x:c r="B20" s="85"/>
      <x:c r="C20" s="85"/>
      <x:c r="D20" s="85"/>
      <x:c r="E20" s="85"/>
      <x:c r="F20" s="86"/>
      <x:c r="G20" s="85" t="s">
        <x:v>35</x:v>
      </x:c>
    </x:row>
    <x:row r="21" ht="33.95000076293945" customHeight="1">
      <x:c r="A21" s="69" t="s">
        <x:v>50</x:v>
      </x:c>
      <x:c r="B21" s="85"/>
      <x:c r="C21" s="85"/>
      <x:c r="D21" s="85"/>
      <x:c r="E21" s="85"/>
      <x:c r="F21" s="86"/>
      <x:c r="G21" s="85" t="s">
        <x:v>35</x:v>
      </x:c>
    </x:row>
    <x:row r="22" ht="33.95000076293945" customHeight="1">
      <x:c r="A22" s="69" t="s">
        <x:v>51</x:v>
      </x:c>
      <x:c r="B22" s="85"/>
      <x:c r="C22" s="85"/>
      <x:c r="D22" s="85"/>
      <x:c r="E22" s="85"/>
      <x:c r="F22" s="86"/>
      <x:c r="G22" s="85" t="s">
        <x:v>35</x:v>
      </x:c>
    </x:row>
    <x:row r="23" ht="33.95000076293945" customHeight="1">
      <x:c r="A23" s="69" t="s">
        <x:v>52</x:v>
      </x:c>
      <x:c r="B23" s="85"/>
      <x:c r="C23" s="85"/>
      <x:c r="D23" s="85"/>
      <x:c r="E23" s="85"/>
      <x:c r="F23" s="86"/>
      <x:c r="G23" s="85" t="s">
        <x:v>35</x:v>
      </x:c>
    </x:row>
    <x:row r="24" ht="33.95000076293945" customHeight="1">
      <x:c r="A24" s="69" t="s">
        <x:v>53</x:v>
      </x:c>
      <x:c r="B24" s="85"/>
      <x:c r="C24" s="85"/>
      <x:c r="D24" s="85"/>
      <x:c r="E24" s="85"/>
      <x:c r="F24" s="86"/>
      <x:c r="G24" s="85" t="s">
        <x:v>35</x:v>
      </x:c>
    </x:row>
    <x:row r="25" ht="33.95000076293945" customHeight="1">
      <x:c r="A25" s="69" t="s">
        <x:v>54</x:v>
      </x:c>
      <x:c r="B25" s="85"/>
      <x:c r="C25" s="85"/>
      <x:c r="D25" s="85"/>
      <x:c r="E25" s="85"/>
      <x:c r="F25" s="86"/>
      <x:c r="G25" s="85" t="s">
        <x:v>35</x:v>
      </x:c>
    </x:row>
    <x:row r="26">
      <x:c r="A26" s="1"/>
      <x:c r="B26" s="1"/>
      <x:c r="C26" s="1"/>
      <x:c r="D26" s="1"/>
      <x:c r="E26" s="1"/>
      <x:c r="F26" s="1"/>
      <x:c r="G26" s="1"/>
    </x:row>
    <x:row r="27">
      <x:c r="A27" s="1"/>
      <x:c r="B27" s="1"/>
      <x:c r="C27" s="1"/>
      <x:c r="D27" s="1"/>
      <x:c r="E27" s="1"/>
      <x:c r="F27" s="1"/>
      <x:c r="G27" s="1"/>
    </x:row>
    <x:row r="28">
      <x:c r="A28" s="1"/>
      <x:c r="B28" s="1"/>
      <x:c r="C28" s="1"/>
      <x:c r="D28" s="1"/>
      <x:c r="E28" s="1"/>
      <x:c r="F28" s="1"/>
      <x:c r="G28" s="1"/>
    </x:row>
    <x:row r="29">
      <x:c r="A29" s="1"/>
      <x:c r="B29" s="1"/>
      <x:c r="C29" s="1"/>
      <x:c r="D29" s="1"/>
      <x:c r="E29" s="1"/>
      <x:c r="F29" s="1"/>
      <x:c r="G29" s="1"/>
    </x:row>
    <x:row r="30">
      <x:c r="A30" s="1"/>
      <x:c r="B30" s="1"/>
      <x:c r="C30" s="1"/>
      <x:c r="D30" s="1"/>
      <x:c r="E30" s="1"/>
      <x:c r="F30" s="1"/>
      <x:c r="G30" s="1"/>
    </x:row>
    <x:row r="31">
      <x:c r="A31" s="1"/>
      <x:c r="B31" s="1"/>
      <x:c r="C31" s="1"/>
      <x:c r="D31" s="1"/>
      <x:c r="E31" s="1"/>
      <x:c r="F31" s="1"/>
      <x:c r="G31" s="1"/>
    </x:row>
  </x:sheetData>
  <x:mergeCells>
    <x:mergeCell ref="A1:G2"/>
    <x:mergeCell ref="A3:G3"/>
  </x:mergeCells>
  <x:conditionalFormatting sqref="G6:G25">
    <x:cfRule type="expression" dxfId="1" priority="1">
      <x:formula>G6="Erledigt"</x:formula>
    </x:cfRule>
    <x:cfRule type="expression" dxfId="0" priority="2">
      <x:formula>G6="Offen"</x:formula>
    </x:cfRule>
  </x:conditionalFormatting>
  <x:dataValidations count="2">
    <x:dataValidation type="list" sqref="B6:B25">
      <x:formula1>"A,I,B"</x:formula1>
    </x:dataValidation>
    <x:dataValidation type="list" sqref="G6:G25">
      <x:formula1>"Offen,In Bearbeitung,Erledigt,Zurückgestellt"</x:formula1>
    </x:dataValidation>
  </x:dataValidations>
  <x:pageMargins left="0.7" right="0.7" top="0.75" bottom="0.75" header="0.3" footer="0.3"/>
  <x:tableParts count="1">
    <x:tablePart xmlns:r="http://schemas.openxmlformats.org/officeDocument/2006/relationships" r:id="R69730d6aa97a4d54"/>
  </x:tableParts>
</x:worksheet>
</file>

<file path=xl/worksheets/sheet5.xml><?xml version="1.0" encoding="utf-8"?>
<x:worksheet xmlns:x="http://schemas.openxmlformats.org/spreadsheetml/2006/main">
  <x:sheetViews>
    <x:sheetView showGridLines="0" workbookViewId="0"/>
  </x:sheetViews>
  <x:sheetFormatPr baseColWidth="10" defaultColWidth="9" defaultRowHeight="14.25"/>
  <x:cols>
    <x:col min="1" max="1" width="14" customWidth="1"/>
    <x:col min="2" max="2" width="42" customWidth="1"/>
    <x:col min="3" max="3" width="48" customWidth="1"/>
    <x:col min="4" max="4" width="38" customWidth="1"/>
  </x:cols>
  <x:sheetData>
    <x:row r="1" ht="33.95000076293945" customHeight="1">
      <x:c r="A1" s="102" t="s">
        <x:v>55</x:v>
      </x:c>
      <x:c r="B1" s="89" t="s">
        <x:v>55</x:v>
      </x:c>
      <x:c r="C1" s="89" t="s">
        <x:v>55</x:v>
      </x:c>
      <x:c r="D1" s="89" t="s">
        <x:v>55</x:v>
      </x:c>
    </x:row>
    <x:row r="2" ht="33.95000076293945" customHeight="1">
      <x:c r="A2" s="102" t="s">
        <x:v>55</x:v>
      </x:c>
      <x:c r="B2" s="89" t="s">
        <x:v>55</x:v>
      </x:c>
      <x:c r="C2" s="89" t="s">
        <x:v>55</x:v>
      </x:c>
      <x:c r="D2" s="89" t="s">
        <x:v>55</x:v>
      </x:c>
    </x:row>
    <x:row r="3">
      <x:c r="A3" s="83"/>
      <x:c r="B3" s="83"/>
      <x:c r="C3" s="83"/>
      <x:c r="D3" s="83"/>
    </x:row>
    <x:row r="4" ht="24" customHeight="1">
      <x:c r="A4" s="49" t="str">
        <x:v>Prüfpunktarten in IEC 61508-2, Kapitel 7.1</x:v>
      </x:c>
      <x:c r="B4" s="49" t="s">
        <x:v>56</x:v>
      </x:c>
      <x:c r="C4" s="49" t="s">
        <x:v>56</x:v>
      </x:c>
      <x:c r="D4" s="49" t="s">
        <x:v>56</x:v>
      </x:c>
    </x:row>
    <x:row r="5">
      <x:c r="A5" s="95" t="str">
        <x:v>Kennzeichen</x:v>
      </x:c>
      <x:c r="B5" s="95" t="str">
        <x:v>Bedeutung</x:v>
      </x:c>
      <x:c r="C5" s="95" t="str">
        <x:v>Anwendung im Review</x:v>
      </x:c>
      <x:c r="D5" s="95" t="str">
        <x:v>Geltungsbereich</x:v>
      </x:c>
    </x:row>
    <x:row r="6" ht="48" customHeight="1">
      <x:c r="A6" s="97" t="str">
        <x:v>A</x:v>
      </x:c>
      <x:c r="B6" s="95" t="str">
        <x:v>Verbindliche Anforderung</x:v>
      </x:c>
      <x:c r="C6" s="95" t="str">
        <x:v>Erfüllung anhand eines konkreten Nachweises bewerten.</x:v>
      </x:c>
      <x:c r="D6" s="95" t="str">
        <x:v>IEC 61508-2, 7.1.3</x:v>
      </x:c>
    </x:row>
    <x:row r="7" ht="48" customHeight="1">
      <x:c r="A7" s="97" t="str">
        <x:v>Z</x:v>
      </x:c>
      <x:c r="B7" s="95" t="str">
        <x:v>Ziel des Unterabschnitts</x:v>
      </x:c>
      <x:c r="C7" s="95" t="str">
        <x:v>Prüfen, ob die geforderte Wirkung durch die gewählte Umsetzung erreicht wird.</x:v>
      </x:c>
      <x:c r="D7" s="95" t="str">
        <x:v>IEC 61508-2, 7.1.2</x:v>
      </x:c>
    </x:row>
    <x:row r="8" ht="48" customHeight="1">
      <x:c r="A8" s="97" t="str">
        <x:v>F</x:v>
      </x:c>
      <x:c r="B8" s="95" t="str">
        <x:v>Allgemeine Festlegung</x:v>
      </x:c>
      <x:c r="C8" s="95" t="str">
        <x:v>Als Rahmenbedingung für Umfang und Struktur des Reviews berücksichtigen.</x:v>
      </x:c>
      <x:c r="D8" s="95" t="str">
        <x:v>IEC 61508-2, 7.1.1</x:v>
      </x:c>
    </x:row>
    <x:row r="9" ht="48" customHeight="1">
      <x:c r="A9" s="97" t="str">
        <x:v>I</x:v>
      </x:c>
      <x:c r="B9" s="95" t="str">
        <x:v>Informative Anmerkung oder Bildbezug</x:v>
      </x:c>
      <x:c r="C9" s="95" t="str">
        <x:v>Zur Erläuterung verwenden; nicht ohne zugehörige Anforderung als eigenständige Muss-Anforderung bewerten.</x:v>
      </x:c>
      <x:c r="D9" s="95" t="str">
        <x:v>Anmerkungen und Bilder zu IEC 61508-2, 7.1</x:v>
      </x:c>
    </x:row>
    <x:row r="10">
      <x:c r="A10" s="95"/>
      <x:c r="B10" s="95"/>
      <x:c r="C10" s="95"/>
      <x:c r="D10" s="95"/>
    </x:row>
    <x:row r="11" ht="24" customHeight="1">
      <x:c r="A11" s="49" t="s">
        <x:v>57</x:v>
      </x:c>
      <x:c r="B11" s="49" t="s">
        <x:v>57</x:v>
      </x:c>
      <x:c r="C11" s="49" t="s">
        <x:v>57</x:v>
      </x:c>
      <x:c r="D11" s="49" t="s">
        <x:v>57</x:v>
      </x:c>
    </x:row>
    <x:row r="12">
      <x:c r="A12" s="95" t="s">
        <x:v>58</x:v>
      </x:c>
      <x:c r="B12" s="95" t="s">
        <x:v>59</x:v>
      </x:c>
      <x:c r="C12" s="95" t="s">
        <x:v>60</x:v>
      </x:c>
      <x:c r="D12" s="95" t="s">
        <x:v>61</x:v>
      </x:c>
    </x:row>
    <x:row r="13" ht="51.95000076293945" customHeight="1">
      <x:c r="A13" s="95" t="s">
        <x:v>62</x:v>
      </x:c>
      <x:c r="B13" s="95" t="s">
        <x:v>63</x:v>
      </x:c>
      <x:c r="C13" s="95" t="s">
        <x:v>64</x:v>
      </x:c>
      <x:c r="D13" s="95" t="s">
        <x:v>65</x:v>
      </x:c>
    </x:row>
    <x:row r="14" ht="51.95000076293945" customHeight="1">
      <x:c r="A14" s="95" t="str">
        <x:v>2 Dokumente registrieren.</x:v>
      </x:c>
      <x:c r="B14" s="95" t="str">
        <x:v>Dokumentkennung, Version, Status, Verantwortlichen und Ablageort eintragen.</x:v>
      </x:c>
      <x:c r="C14" s="95"/>
      <x:c r="D14" s="95" t="str">
        <x:v>Die IDs D01 bis D12 sind für IEC 61508-2, Kapitel 7.1 vorbereitet.</x:v>
      </x:c>
    </x:row>
    <x:row r="15" ht="51.95000076293945" customHeight="1">
      <x:c r="A15" s="95" t="str">
        <x:v>3 Prüfpunkte bewerten.</x:v>
      </x:c>
      <x:c r="B15" s="95" t="str">
        <x:v>Auf „Review 7.1“ das Prüfergebnis formulieren und die Dokument-IDs prüfen.</x:v>
      </x:c>
      <x:c r="C15" s="95"/>
      <x:c r="D15" s="95" t="str">
        <x:v>Status / OK über das Auswahlfeld setzen.</x:v>
      </x:c>
    </x:row>
    <x:row r="16" ht="51.95000076293945" customHeight="1">
      <x:c r="A16" s="95" t="str">
        <x:v>4 Maßnahmen erfassen.</x:v>
      </x:c>
      <x:c r="B16" s="95" t="str">
        <x:v>Abweichungen oder Beschlüsse mit Prüfpunkt, Verantwortlichem, Fälligkeit und Status eintragen.</x:v>
      </x:c>
      <x:c r="C16" s="95"/>
      <x:c r="D16" s="95" t="str">
        <x:v>IDs M-01 bis M-20 sind vorbereitet.</x:v>
      </x:c>
    </x:row>
    <x:row r="17" ht="51.95000076293945" customHeight="1">
      <x:c r="A17" s="95" t="str">
        <x:v>5 Phasenübersicht prüfen.</x:v>
      </x:c>
      <x:c r="B17" s="95" t="str">
        <x:v>Die Phasen aus IEC 61508-2, Tabelle 1 mit ihren Eingaben und Ergebnissen als Prüfhilfe verwenden.</x:v>
      </x:c>
      <x:c r="C17" s="95"/>
      <x:c r="D17" s="95" t="str">
        <x:v>Kapitel 7.1 enthält keinen direkten Verweis auf IEC 61508-7.</x:v>
      </x:c>
    </x:row>
    <x:row r="18" ht="51.95000076293945" customHeight="1">
      <x:c r="A18" s="95" t="str">
        <x:v>6 Gesamtergebnis festlegen.</x:v>
      </x:c>
      <x:c r="B18" s="95" t="str">
        <x:v>Auf „Übersicht“ Ergebnis, Begründung und Zusammenfassung eintragen.</x:v>
      </x:c>
      <x:c r="C18" s="95"/>
      <x:c r="D18" s="95" t="str">
        <x:v>Fortschrittskennzahlen werden automatisch berechnet.</x:v>
      </x:c>
    </x:row>
    <x:row r="19" ht="51.95000076293945" customHeight="1">
      <x:c r="A19" s="95" t="s">
        <x:v>66</x:v>
      </x:c>
      <x:c r="B19" s="95" t="s">
        <x:v>67</x:v>
      </x:c>
      <x:c r="C19" s="95" t="s">
        <x:v>68</x:v>
      </x:c>
      <x:c r="D19" s="95" t="s">
        <x:v>69</x:v>
      </x:c>
    </x:row>
    <x:row r="20">
      <x:c r="A20" s="95"/>
      <x:c r="B20" s="95"/>
      <x:c r="C20" s="95"/>
      <x:c r="D20" s="95"/>
    </x:row>
    <x:row r="21">
      <x:c r="A21" s="98" t="str">
        <x:v>Quellen: IEC 61508-2, 7.1.1 bis 7.1.3 sowie Tabelle 1; ergänzende Verweise gemäß den einzelnen Prüfpunkten.</x:v>
      </x:c>
      <x:c r="B21" s="98" t="s">
        <x:v>70</x:v>
      </x:c>
      <x:c r="C21" s="98" t="s">
        <x:v>70</x:v>
      </x:c>
      <x:c r="D21" s="98" t="s">
        <x:v>70</x:v>
      </x:c>
    </x:row>
    <x:row r="22">
      <x:c r="A22" s="1"/>
      <x:c r="B22" s="1"/>
      <x:c r="C22" s="1"/>
      <x:c r="D22" s="1"/>
    </x:row>
    <x:row r="23">
      <x:c r="A23" s="1"/>
      <x:c r="B23" s="1"/>
      <x:c r="C23" s="1"/>
      <x:c r="D23" s="1"/>
    </x:row>
    <x:row r="24">
      <x:c r="A24" s="1"/>
      <x:c r="B24" s="1"/>
      <x:c r="C24" s="1"/>
      <x:c r="D24" s="1"/>
    </x:row>
    <x:row r="25">
      <x:c r="A25" s="1"/>
      <x:c r="B25" s="1"/>
      <x:c r="C25" s="1"/>
      <x:c r="D25" s="1"/>
    </x:row>
    <x:row r="26">
      <x:c r="A26" s="1"/>
      <x:c r="B26" s="1"/>
      <x:c r="C26" s="1"/>
      <x:c r="D26" s="1"/>
    </x:row>
    <x:row r="27">
      <x:c r="A27" s="1"/>
      <x:c r="B27" s="1"/>
      <x:c r="C27" s="1"/>
      <x:c r="D27" s="1"/>
    </x:row>
    <x:row r="28">
      <x:c r="A28" s="1"/>
      <x:c r="B28" s="1"/>
      <x:c r="C28" s="1"/>
      <x:c r="D28" s="1"/>
    </x:row>
  </x:sheetData>
  <x:mergeCells>
    <x:mergeCell ref="A1:D2"/>
    <x:mergeCell ref="A4:D4"/>
    <x:mergeCell ref="A11:D11"/>
    <x:mergeCell ref="A21:D21"/>
  </x:mergeCells>
  <x:pageMargins left="0.7" right="0.7" top="0.75" bottom="0.75" header="0.3" footer="0.3"/>
  <x:tableParts count="2">
    <x:tablePart xmlns:r="http://schemas.openxmlformats.org/officeDocument/2006/relationships" r:id="Rfacefa804c3740bb"/>
    <x:tablePart xmlns:r="http://schemas.openxmlformats.org/officeDocument/2006/relationships" r:id="Ra4ef9185838f4411"/>
  </x:tableParts>
</x:worksheet>
</file>

<file path=xl/worksheets/sheet6.xml><?xml version="1.0" encoding="utf-8"?>
<x:worksheet xmlns:x="http://schemas.openxmlformats.org/spreadsheetml/2006/main">
  <x:sheetViews>
    <x:sheetView showGridLines="0" workbookViewId="0"/>
  </x:sheetViews>
  <x:sheetFormatPr baseColWidth="10" defaultColWidth="9" defaultRowHeight="14.25"/>
  <x:cols>
    <x:col min="1" max="1" width="52" customWidth="1"/>
    <x:col min="2" max="2" width="18" customWidth="1"/>
    <x:col min="3" max="3" width="38" customWidth="1"/>
  </x:cols>
  <x:sheetData>
    <x:row r="1" ht="33.95000076293945" customHeight="1">
      <x:c r="A1" s="102" t="s">
        <x:v>71</x:v>
      </x:c>
      <x:c r="B1" s="89" t="s">
        <x:v>71</x:v>
      </x:c>
      <x:c r="C1" s="89" t="s">
        <x:v>71</x:v>
      </x:c>
    </x:row>
    <x:row r="2" ht="33.95000076293945" customHeight="1">
      <x:c r="A2" s="102" t="s">
        <x:v>71</x:v>
      </x:c>
      <x:c r="B2" s="89" t="s">
        <x:v>71</x:v>
      </x:c>
      <x:c r="C2" s="89" t="s">
        <x:v>71</x:v>
      </x:c>
    </x:row>
    <x:row r="3">
      <x:c r="A3" s="83"/>
      <x:c r="B3" s="83"/>
      <x:c r="C3" s="83"/>
    </x:row>
    <x:row r="4">
      <x:c r="A4" s="69" t="s">
        <x:v>72</x:v>
      </x:c>
      <x:c r="B4" s="69" t="s">
        <x:v>73</x:v>
      </x:c>
      <x:c r="C4" s="69" t="s">
        <x:v>74</x:v>
      </x:c>
    </x:row>
    <x:row r="5" ht="48" customHeight="1">
      <x:c r="A5" s="85"/>
      <x:c r="B5" s="86"/>
      <x:c r="C5" s="85"/>
    </x:row>
    <x:row r="6" ht="48" customHeight="1">
      <x:c r="A6" s="85"/>
      <x:c r="B6" s="86"/>
      <x:c r="C6" s="85"/>
    </x:row>
    <x:row r="7" ht="48" customHeight="1">
      <x:c r="A7" s="85"/>
      <x:c r="B7" s="86"/>
      <x:c r="C7" s="85"/>
    </x:row>
    <x:row r="8" ht="48" customHeight="1">
      <x:c r="A8" s="85"/>
      <x:c r="B8" s="86"/>
      <x:c r="C8" s="85"/>
    </x:row>
    <x:row r="9" ht="48" customHeight="1">
      <x:c r="A9" s="85"/>
      <x:c r="B9" s="86"/>
      <x:c r="C9" s="85"/>
    </x:row>
    <x:row r="10" ht="48" customHeight="1">
      <x:c r="A10" s="85"/>
      <x:c r="B10" s="86"/>
      <x:c r="C10" s="85"/>
    </x:row>
    <x:row r="11" ht="48" customHeight="1">
      <x:c r="A11" s="85"/>
      <x:c r="B11" s="86"/>
      <x:c r="C11" s="85"/>
    </x:row>
    <x:row r="12">
      <x:c r="A12" s="1"/>
      <x:c r="B12" s="1"/>
      <x:c r="C12" s="1"/>
    </x:row>
    <x:row r="13">
      <x:c r="A13" s="1"/>
      <x:c r="B13" s="1"/>
      <x:c r="C13" s="1"/>
    </x:row>
    <x:row r="14">
      <x:c r="A14" s="1"/>
      <x:c r="B14" s="1"/>
      <x:c r="C14" s="1"/>
    </x:row>
    <x:row r="15">
      <x:c r="A15" s="1"/>
      <x:c r="B15" s="1"/>
      <x:c r="C15" s="1"/>
    </x:row>
    <x:row r="16">
      <x:c r="A16" s="1"/>
      <x:c r="B16" s="1"/>
      <x:c r="C16" s="1"/>
    </x:row>
  </x:sheetData>
  <x:mergeCells>
    <x:mergeCell ref="A1:C2"/>
  </x:mergeCells>
  <x:pageMargins left="0.7" right="0.7" top="0.75" bottom="0.75" header="0.3" footer="0.3"/>
  <x:tableParts count="1">
    <x:tablePart xmlns:r="http://schemas.openxmlformats.org/officeDocument/2006/relationships" r:id="R280346faf92c48d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38" hidden="0" customWidth="1"/>
    <x:col min="3" max="3" width="72" hidden="0" customWidth="1"/>
    <x:col min="4" max="4" width="28" hidden="0" customWidth="1"/>
    <x:col min="5" max="5" width="28" hidden="0" customWidth="1"/>
    <x:col min="6" max="6" width="44" hidden="0" customWidth="1"/>
    <x:col min="7" max="7" width="44" hidden="0" customWidth="1"/>
    <x:col min="8" max="8" width="36" hidden="0" customWidth="1"/>
  </x:cols>
  <x:sheetData>
    <x:row r="1" ht="34" customHeight="1">
      <x:c r="A1" s="48" t="str">
        <x:v>Phasenübersicht – IEC 61508-2, Tabelle 1</x:v>
      </x:c>
      <x:c r="B1" s="81"/>
      <x:c r="C1" s="81"/>
      <x:c r="D1" s="81"/>
      <x:c r="E1" s="81"/>
      <x:c r="F1" s="81"/>
      <x:c r="G1" s="81"/>
      <x:c r="H1" s="81"/>
    </x:row>
    <x:row r="2" ht="34" customHeight="1">
      <x:c r="A2" s="48"/>
      <x:c r="B2" s="81"/>
      <x:c r="C2" s="81"/>
      <x:c r="D2" s="81"/>
      <x:c r="E2" s="81"/>
      <x:c r="F2" s="81"/>
      <x:c r="G2" s="81"/>
      <x:c r="H2" s="81"/>
    </x:row>
    <x:row r="3" ht="24" customHeight="1">
      <x:c r="A3" s="90" t="str">
        <x:v>Zuordnung der Lebenszyklusphasen gemäß IEC 61508-2, 7.1.1.2 und 7.1.3.3.</x:v>
      </x:c>
      <x:c r="B3" s="90"/>
      <x:c r="C3" s="90"/>
      <x:c r="D3" s="90"/>
      <x:c r="E3" s="90"/>
      <x:c r="F3" s="90"/>
      <x:c r="G3" s="90"/>
      <x:c r="H3" s="90"/>
    </x:row>
    <x:row r="4">
      <x:c r="A4" s="99"/>
      <x:c r="B4" s="99"/>
      <x:c r="C4" s="99"/>
      <x:c r="D4" s="99"/>
      <x:c r="E4" s="99"/>
      <x:c r="F4" s="99"/>
      <x:c r="G4" s="99"/>
      <x:c r="H4" s="99"/>
    </x:row>
    <x:row r="5" ht="28" customHeight="1">
      <x:c r="A5" s="49" t="str">
        <x:v>Realisierungsphase des Sicherheitslebenszyklus des E/E/PE-Systems</x:v>
      </x:c>
      <x:c r="B5" s="49"/>
      <x:c r="C5" s="49"/>
      <x:c r="D5" s="49"/>
      <x:c r="E5" s="49"/>
      <x:c r="F5" s="49"/>
      <x:c r="G5" s="49"/>
      <x:c r="H5" s="49"/>
    </x:row>
    <x:row r="6" ht="28" customHeight="1">
      <x:c r="A6" s="103" t="str">
        <x:v>Phase</x:v>
      </x:c>
      <x:c r="B6" s="103" t="str">
        <x:v>Titel</x:v>
      </x:c>
      <x:c r="C6" s="103" t="str">
        <x:v>Erläuterung</x:v>
      </x:c>
      <x:c r="D6" s="103" t="str">
        <x:v>Anwendungsbereich</x:v>
      </x:c>
      <x:c r="E6" s="103" t="str">
        <x:v>Anforderungsabschnitt</x:v>
      </x:c>
      <x:c r="F6" s="103" t="str">
        <x:v>Eingaben</x:v>
      </x:c>
      <x:c r="G6" s="103" t="str">
        <x:v>Ergebnisse (Ausgaben)</x:v>
      </x:c>
      <x:c r="H6" s="103" t="str">
        <x:v>Review / Nachweis</x:v>
      </x:c>
    </x:row>
    <x:row r="7" ht="126" customHeight="1">
      <x:c r="A7" s="104" t="str">
        <x:v>10.1</x:v>
      </x:c>
      <x:c r="B7" s="105" t="str">
        <x:v>Spezifikation der Anforderungen an den Entwurf des E/E/PE-Systems</x:v>
      </x:c>
      <x:c r="C7" s="105" t="str">
        <x:v>In dieser Phase werden die Entwurfsanforderungen für jedes sicherheitsbezogene E/E/PE-System festgelegt. Die Anforderungen werden auf Teilsysteme und Elemente heruntergebrochen und aus den Sicherheitsanforderungen abgeleitet. Als Ergebnis entsteht eine Entwurfsspezifikation, die Betriebsmittel und Architekturen des E/E/PE-Systems beschreibt.</x:v>
      </x:c>
      <x:c r="D7" s="105" t="str">
        <x:v>Sicherheitsbezogenes E/E/PE-System</x:v>
      </x:c>
      <x:c r="E7" s="105" t="str">
        <x:v>IEC 61508-2, 7.2.2</x:v>
      </x:c>
      <x:c r="F7" s="105" t="str">
        <x:v>Spezifikation der Anforderungen an die Sicherheit des E/E/PE-Systems; IEC 61508-1, 7.10</x:v>
      </x:c>
      <x:c r="G7" s="105" t="str">
        <x:v>Spezifikation der Anforderungen an den Entwurf des E/E/PE-Systems</x:v>
      </x:c>
      <x:c r="H7" s="106"/>
    </x:row>
    <x:row r="8" ht="126" customHeight="1">
      <x:c r="A8" s="104" t="str">
        <x:v>10.2</x:v>
      </x:c>
      <x:c r="B8" s="105" t="str">
        <x:v>Planung der Validierung der Sicherheit des E/E/PE-Systems</x:v>
      </x:c>
      <x:c r="C8" s="105" t="str">
        <x:v>In dieser Phase wird die spätere Validierung der Sicherheit geplant. Der Plan muss die Sicherheits- und Entwurfsanforderungen als Grundlage verwenden und die erforderlichen Validierungstätigkeiten festlegen. Das Ergebnis ist ein nachvollziehbarer Plan für die Validierung der sicherheitsbezogenen E/E/PE-Systeme.</x:v>
      </x:c>
      <x:c r="D8" s="105" t="str">
        <x:v>Sicherheitsbezogenes E/E/PE-System</x:v>
      </x:c>
      <x:c r="E8" s="105" t="str">
        <x:v>IEC 61508-2, 7.3.2</x:v>
      </x:c>
      <x:c r="F8" s="105" t="str">
        <x:v>Sicherheitsanforderungen und Entwurfsanforderungen des E/E/PE-Systems</x:v>
      </x:c>
      <x:c r="G8" s="105" t="str">
        <x:v>Plan für die Validierung der Sicherheit des E/E/PE-Systems</x:v>
      </x:c>
      <x:c r="H8" s="106"/>
    </x:row>
    <x:row r="9" ht="126" customHeight="1">
      <x:c r="A9" s="104" t="str">
        <x:v>10.3</x:v>
      </x:c>
      <x:c r="B9" s="105" t="str">
        <x:v>Entwurf und Entwicklung des E/E/PE-Systems einschließlich ASICs und Software</x:v>
      </x:c>
      <x:c r="C9" s="105" t="str">
        <x:v>In dieser Phase wird das sicherheitsbezogene E/E/PE-System auf Grundlage der Entwurfsanforderungen entwickelt. Hardware, Software und gegebenenfalls ASICs werden so ausgelegt, dass Sicherheitsfunktionen und Sicherheitsintegrität erreicht werden. Die Ergebnisse umfassen den Systementwurf, den Integrationstestplan und Architekturinformationen für die Softwarespezifikation.</x:v>
      </x:c>
      <x:c r="D9" s="105" t="str">
        <x:v>Sicherheitsbezogenes E/E/PE-System</x:v>
      </x:c>
      <x:c r="E9" s="105" t="str">
        <x:v>IEC 61508-2, 7.4.2 bis 7.4.11</x:v>
      </x:c>
      <x:c r="F9" s="105" t="str">
        <x:v>Spezifikation der Anforderungen an den Entwurf des E/E/PE-Systems</x:v>
      </x:c>
      <x:c r="G9" s="105" t="str">
        <x:v>Systementwurf; Integrationstestplan; Architekturinformationen für die Softwareanforderungen</x:v>
      </x:c>
      <x:c r="H9" s="106"/>
    </x:row>
    <x:row r="10" ht="126" customHeight="1">
      <x:c r="A10" s="104" t="str">
        <x:v>10.4</x:v>
      </x:c>
      <x:c r="B10" s="105" t="str">
        <x:v>Integration des E/E/PE-Systems</x:v>
      </x:c>
      <x:c r="C10" s="105" t="str">
        <x:v>In dieser Phase werden Hardware und Software zum vollständigen sicherheitsbezogenen E/E/PE-System integriert. Die Integration wird anhand des Systementwurfs und des Integrationstestplans geprüft. Als Ergebnisse entstehen ein vollständig funktionsfähiges System und dokumentierte Ergebnisse der Integrationstests.</x:v>
      </x:c>
      <x:c r="D10" s="105" t="str">
        <x:v>Sicherheitsbezogenes E/E/PE-System</x:v>
      </x:c>
      <x:c r="E10" s="105" t="str">
        <x:v>IEC 61508-2, 7.5.2</x:v>
      </x:c>
      <x:c r="F10" s="105" t="str">
        <x:v>Systementwurf; Integrationstestplan; Hardware und Software der programmierbaren Elektronik</x:v>
      </x:c>
      <x:c r="G10" s="105" t="str">
        <x:v>Vollständig funktionsfähiges E/E/PE-System; Ergebnisse der Integrationstests</x:v>
      </x:c>
      <x:c r="H10" s="106"/>
    </x:row>
    <x:row r="11" ht="126" customHeight="1">
      <x:c r="A11" s="104" t="str">
        <x:v>10.5</x:v>
      </x:c>
      <x:c r="B11" s="105" t="str">
        <x:v>Installations-, Inbetriebnahme-, Betriebs- und Instandhaltungsverfahren</x:v>
      </x:c>
      <x:c r="C11" s="105" t="str">
        <x:v>In dieser Phase werden die Verfahren für Installation, Inbetriebnahme, Betrieb und Instandhaltung entwickelt. Diese Verfahren müssen sicherstellen, dass die erforderliche funktionale Sicherheit im späteren Betrieb aufrechterhalten bleibt. Das Ergebnis sind anwendbare und dokumentierte Verfahren für jedes einzelne sicherheitsbezogene E/E/PE-System.</x:v>
      </x:c>
      <x:c r="D11" s="105" t="str">
        <x:v>Sicherheitsbezogenes E/E/PE-System und EUC</x:v>
      </x:c>
      <x:c r="E11" s="105" t="str">
        <x:v>IEC 61508-2, 7.6.2</x:v>
      </x:c>
      <x:c r="F11" s="105" t="str">
        <x:v>Entwurfsanforderungen und Entwurf des E/E/PE-Systems</x:v>
      </x:c>
      <x:c r="G11" s="105" t="str">
        <x:v>Installations-, Inbetriebnahme-, Betriebs- und Instandhaltungsverfahren</x:v>
      </x:c>
      <x:c r="H11" s="106"/>
    </x:row>
    <x:row r="12" ht="126" customHeight="1">
      <x:c r="A12" s="104" t="str">
        <x:v>10.6</x:v>
      </x:c>
      <x:c r="B12" s="105" t="str">
        <x:v>Validierung der Sicherheit des E/E/PE-Systems</x:v>
      </x:c>
      <x:c r="C12" s="105" t="str">
        <x:v>In dieser Phase wird nachgewiesen, dass das realisierte System die festgelegten Sicherheitsanforderungen erfüllt. Die Validierung betrachtet sowohl die geforderten Sicherheitsfunktionen als auch die erforderliche Sicherheitsintegrität. Als Ergebnisse liegen ein in Bezug auf Sicherheit validiertes System und dokumentierte Validierungsergebnisse vor.</x:v>
      </x:c>
      <x:c r="D12" s="105" t="str">
        <x:v>Sicherheitsbezogenes E/E/PE-System</x:v>
      </x:c>
      <x:c r="E12" s="105" t="str">
        <x:v>IEC 61508-2, 7.7.2</x:v>
      </x:c>
      <x:c r="F12" s="105" t="str">
        <x:v>Sicherheitsanforderungen; Entwurfsanforderungen; Validierungsplan</x:v>
      </x:c>
      <x:c r="G12" s="105" t="str">
        <x:v>Sicherheitsvalidiertes E/E/PE-System; Ergebnisse der Sicherheitsvalidierung</x:v>
      </x:c>
      <x:c r="H12" s="106"/>
    </x:row>
    <x:row r="13" ht="126" customHeight="1">
      <x:c r="A13" s="104" t="str">
        <x:v>—</x:v>
      </x:c>
      <x:c r="B13" s="105" t="str">
        <x:v>Modifikation des E/E/PE-Systems</x:v>
      </x:c>
      <x:c r="C13" s="105" t="str">
        <x:v>Diese Tätigkeit behandelt Korrekturen, Verbesserungen und Anpassungen am sicherheitsbezogenen E/E/PE-System. Änderungen müssen so durchgeführt werden, dass die erforderliche Sicherheitsintegrität erreicht bleibt und nicht unbeabsichtigt beeinträchtigt wird. Das Ergebnis ist ein nachvollziehbar dokumentierter Modifikationsstand des Systems.</x:v>
      </x:c>
      <x:c r="D13" s="105" t="str">
        <x:v>Sicherheitsbezogenes E/E/PE-System</x:v>
      </x:c>
      <x:c r="E13" s="105" t="str">
        <x:v>IEC 61508-2, 7.8.2</x:v>
      </x:c>
      <x:c r="F13" s="105" t="str">
        <x:v>Entwurfsanforderungen des E/E/PE-Systems</x:v>
      </x:c>
      <x:c r="G13" s="105" t="str">
        <x:v>Ergebnisse der Modifikation des E/E/PE-Systems</x:v>
      </x:c>
      <x:c r="H13" s="106"/>
    </x:row>
    <x:row r="14" ht="126" customHeight="1">
      <x:c r="A14" s="104" t="str">
        <x:v>—</x:v>
      </x:c>
      <x:c r="B14" s="105" t="str">
        <x:v>Verifikation des E/E/PE-Systems</x:v>
      </x:c>
      <x:c r="C14" s="105" t="str">
        <x:v>Die Verifikation prüft die Ergebnisse einer Lebenszyklusphase auf Korrektheit und Konsistenz. Maßstab sind die Produkte und Normen, die als Eingabe für die jeweilige Phase festgelegt wurden. Die Ergebnisse bestehen aus phasenbezogenen Verifikationsplänen und dokumentierten Verifikationsergebnissen.</x:v>
      </x:c>
      <x:c r="D14" s="105" t="str">
        <x:v>Sicherheitsbezogenes E/E/PE-System</x:v>
      </x:c>
      <x:c r="E14" s="105" t="str">
        <x:v>IEC 61508-2, 7.9.2</x:v>
      </x:c>
      <x:c r="F14" s="105" t="str">
        <x:v>Abhängig von der jeweiligen Lebenszyklusphase</x:v>
      </x:c>
      <x:c r="G14" s="105" t="str">
        <x:v>Verifikationsplan und Verifikationsergebnisse für die jeweilige Phase</x:v>
      </x:c>
      <x:c r="H14" s="106"/>
    </x:row>
    <x:row r="15" ht="126" customHeight="1">
      <x:c r="A15" s="104" t="str">
        <x:v>—</x:v>
      </x:c>
      <x:c r="B15" s="105" t="str">
        <x:v>Beurteilung der funktionalen Sicherheit des E/E/PE-Systems</x:v>
      </x:c>
      <x:c r="C15" s="105" t="str">
        <x:v>Die Beurteilung untersucht die Angemessenheit der erreichten funktionalen Sicherheit. Auf Grundlage eines Beurteilungsplans wird ein begründetes Urteil über das sicherheitsbezogene E/E/PE-System gebildet. Das Ergebnis ist die dokumentierte Beurteilung der funktionalen Sicherheit des E/E/PE-Systems.</x:v>
      </x:c>
      <x:c r="D15" s="105" t="str">
        <x:v>Sicherheitsbezogenes E/E/PE-System</x:v>
      </x:c>
      <x:c r="E15" s="105" t="str">
        <x:v>IEC 61508-2, Abschnitt 8</x:v>
      </x:c>
      <x:c r="F15" s="105" t="str">
        <x:v>Plan für die Beurteilung der funktionalen Sicherheit</x:v>
      </x:c>
      <x:c r="G15" s="105" t="str">
        <x:v>Ergebnisse der Beurteilung der funktionalen Sicherheit</x:v>
      </x:c>
      <x:c r="H15" s="106"/>
    </x:row>
    <x:row r="16">
      <x:c r="A16" s="99"/>
      <x:c r="B16" s="99"/>
      <x:c r="C16" s="99"/>
      <x:c r="D16" s="99"/>
      <x:c r="E16" s="99"/>
      <x:c r="F16" s="99"/>
      <x:c r="G16" s="99"/>
      <x:c r="H16" s="99"/>
    </x:row>
    <x:row r="17" ht="42" customHeight="1">
      <x:c r="A17" s="107" t="str">
        <x:v>Hinweis: IEC 61508-2, Kapitel 7.1 enthält keinen direkten Verweis auf IEC 61508-7. Deshalb wurden keine nicht belegten Teil-7-Verfahren oder Maßnahmen ergänzt.</x:v>
      </x:c>
      <x:c r="B17" s="107"/>
      <x:c r="C17" s="107"/>
      <x:c r="D17" s="107"/>
      <x:c r="E17" s="107"/>
      <x:c r="F17" s="107"/>
      <x:c r="G17" s="107"/>
      <x:c r="H17" s="107"/>
    </x:row>
  </x:sheetData>
  <x:mergeCells>
    <x:mergeCell ref="A1:H2"/>
    <x:mergeCell ref="A3:H3"/>
    <x:mergeCell ref="A5:H5"/>
    <x:mergeCell ref="A17:H17"/>
  </x:mergeCells>
  <x:pageMargins left="0.7" right="0.7" top="0.75" bottom="0.75" header="0.3" footer="0.3"/>
</x:worksheet>
</file>