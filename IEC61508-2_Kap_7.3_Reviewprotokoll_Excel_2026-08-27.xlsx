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36bf1b66e747f9" /></Relationships>
</file>

<file path=xl/workbook.xml><?xml version="1.0" encoding="utf-8"?>
<x:workbook xmlns:x="http://schemas.openxmlformats.org/spreadsheetml/2006/main">
  <x:sheets>
    <x:sheet xmlns:r="http://schemas.openxmlformats.org/officeDocument/2006/relationships" name="Übersicht" sheetId="1" r:id="R6a7a014f3be84f4e"/>
    <x:sheet xmlns:r="http://schemas.openxmlformats.org/officeDocument/2006/relationships" name="Review 7.3" sheetId="2" r:id="R68cbc0192d2b424a"/>
    <x:sheet xmlns:r="http://schemas.openxmlformats.org/officeDocument/2006/relationships" name="Eingabe- &amp; Ausgabe" sheetId="3" r:id="Rd1e7606194754c4f"/>
    <x:sheet xmlns:r="http://schemas.openxmlformats.org/officeDocument/2006/relationships" name="Maßnahmen" sheetId="4" r:id="R11710ea3ee1c41d6"/>
    <x:sheet xmlns:r="http://schemas.openxmlformats.org/officeDocument/2006/relationships" name="Legende &amp; Hinweise" sheetId="6" r:id="R7c07be676cf24990"/>
    <x:sheet xmlns:r="http://schemas.openxmlformats.org/officeDocument/2006/relationships" name="Unterschriften" sheetId="7" r:id="R76af0442687e48b3"/>
    <x:sheet xmlns:r="http://schemas.openxmlformats.org/officeDocument/2006/relationships" name="Validierungsplanung" sheetId="8" r:id="R03198940304e4b79"/>
  </x:sheets>
</x:workbook>
</file>

<file path=xl/sharedStrings.xml><?xml version="1.0" encoding="utf-8"?>
<x:sst xmlns:x="http://schemas.openxmlformats.org/spreadsheetml/2006/main">
  <x:si>
    <x:t xml:space="preserve">Reviewdaten</x:t>
  </x:si>
  <x:si>
    <x:t xml:space="preserve">Projekt / Teilprojekt</x:t>
  </x:si>
  <x:si>
    <x:t xml:space="preserve">Review-Gegenstand</x:t>
  </x:si>
  <x:si>
    <x:t xml:space="preserve">Dokument / Referenz</x:t>
  </x:si>
  <x:si>
    <x:t xml:space="preserve">Index</x:t>
  </x:si>
  <x:si>
    <x:t xml:space="preserve">SIL</x:t>
  </x:si>
  <x:si>
    <x:t xml:space="preserve">Checkliste</x:t>
  </x:si>
  <x:si>
    <x:t xml:space="preserve">Ort</x:t>
  </x:si>
  <x:si>
    <x:t xml:space="preserve">Datum / Zeitraum</x:t>
  </x:si>
  <x:si>
    <x:t xml:space="preserve">Reviewleitung</x:t>
  </x:si>
  <x:si>
    <x:t xml:space="preserve">Protokollführung</x:t>
  </x:si>
  <x:si>
    <x:t xml:space="preserve">Teilnehmer</x:t>
  </x:si>
  <x:si>
    <x:t xml:space="preserve">Teilnehmer 1</x:t>
  </x:si>
  <x:si>
    <x:t xml:space="preserve">Teilnehmer 2</x:t>
  </x:si>
  <x:si>
    <x:t xml:space="preserve">Teilnehmer 3</x:t>
  </x:si>
  <x:si>
    <x:t xml:space="preserve">Teilnehmer 4</x:t>
  </x:si>
  <x:si>
    <x:t xml:space="preserve">Fortschritt und Review-Ergebnis</x:t>
  </x:si>
  <x:si>
    <x:t xml:space="preserve">Prüfpunkte</x:t>
  </x:si>
  <x:si>
    <x:t xml:space="preserve">OK</x:t>
  </x:si>
  <x:si>
    <x:t xml:space="preserve">Nicht OK</x:t>
  </x:si>
  <x:si>
    <x:t xml:space="preserve">Nicht geprüft</x:t>
  </x:si>
  <x:si>
    <x:t xml:space="preserve">Abschluss</x:t>
  </x:si>
  <x:si>
    <x:t xml:space="preserve">Gesamtergebnis</x:t>
  </x:si>
  <x:si>
    <x:t xml:space="preserve">Ergebnis / Begründung</x:t>
  </x:si>
  <x:si>
    <x:t xml:space="preserve">Zusammenfassung</x:t>
  </x:si>
  <x:si>
    <x:t xml:space="preserve">Review-Ergebnisse und durchzuführende Maßnahmen</x:t>
  </x:si>
  <x:si>
    <x:t xml:space="preserve">A = Aufgabe · I = Information · B = Beschluss. Der Bezug zum Prüfpunkt ermöglicht die direkte Rückverfolgung.</x:t>
  </x:si>
  <x:si>
    <x:t xml:space="preserve">ID</x:t>
  </x:si>
  <x:si>
    <x:t xml:space="preserve">Typ</x:t>
  </x:si>
  <x:si>
    <x:t xml:space="preserve">Review-Ergebnis / Maßnahme</x:t>
  </x:si>
  <x:si>
    <x:t xml:space="preserve">Bezug Prüfpunkt</x:t>
  </x:si>
  <x:si>
    <x:t xml:space="preserve">Verantwortlich</x:t>
  </x:si>
  <x:si>
    <x:t xml:space="preserve">Fällig am</x:t>
  </x:si>
  <x:si>
    <x:t xml:space="preserve">Status</x:t>
  </x:si>
  <x:si>
    <x:t xml:space="preserve">M-01</x:t>
  </x:si>
  <x:si>
    <x:t xml:space="preserve">Offen</x:t>
  </x:si>
  <x:si>
    <x:t xml:space="preserve">M-02</x:t>
  </x:si>
  <x:si>
    <x:t xml:space="preserve">M-03</x:t>
  </x:si>
  <x:si>
    <x:t xml:space="preserve">M-04</x:t>
  </x:si>
  <x:si>
    <x:t xml:space="preserve">M-05</x:t>
  </x:si>
  <x:si>
    <x:t xml:space="preserve">M-06</x:t>
  </x:si>
  <x:si>
    <x:t xml:space="preserve">M-07</x:t>
  </x:si>
  <x:si>
    <x:t xml:space="preserve">M-08</x:t>
  </x:si>
  <x:si>
    <x:t xml:space="preserve">M-09</x:t>
  </x:si>
  <x:si>
    <x:t xml:space="preserve">M-10</x:t>
  </x:si>
  <x:si>
    <x:t xml:space="preserve">M-11</x:t>
  </x:si>
  <x:si>
    <x:t xml:space="preserve">M-12</x:t>
  </x:si>
  <x:si>
    <x:t xml:space="preserve">M-13</x:t>
  </x:si>
  <x:si>
    <x:t xml:space="preserve">M-14</x:t>
  </x:si>
  <x:si>
    <x:t xml:space="preserve">M-15</x:t>
  </x:si>
  <x:si>
    <x:t xml:space="preserve">M-16</x:t>
  </x:si>
  <x:si>
    <x:t xml:space="preserve">M-17</x:t>
  </x:si>
  <x:si>
    <x:t xml:space="preserve">M-18</x:t>
  </x:si>
  <x:si>
    <x:t xml:space="preserve">M-19</x:t>
  </x:si>
  <x:si>
    <x:t xml:space="preserve">M-20</x:t>
  </x:si>
  <x:si>
    <x:t xml:space="preserve">Legende und Anwendungshinweise</x:t>
  </x:si>
  <x:si>
    <x:t xml:space="preserve">Empfehlungsgrade nach IEC 61508</x:t>
  </x:si>
  <x:si>
    <x:t xml:space="preserve">Arbeitsweise</x:t>
  </x:si>
  <x:si>
    <x:t xml:space="preserve">Schritt</x:t>
  </x:si>
  <x:si>
    <x:t xml:space="preserve">Vorgehen</x:t>
  </x:si>
  <x:si>
    <x:t xml:space="preserve">Dokumentation</x:t>
  </x:si>
  <x:si>
    <x:t xml:space="preserve">Hinweis</x:t>
  </x:si>
  <x:si>
    <x:t xml:space="preserve">1</x:t>
  </x:si>
  <x:si>
    <x:t xml:space="preserve">Reviewdaten auf dem Blatt „Übersicht“ ausfüllen.</x:t>
  </x:si>
  <x:si>
    <x:t xml:space="preserve">Projekt, Dokument, SIL, Teilnehmer und Termin erfassen.</x:t>
  </x:si>
  <x:si>
    <x:t xml:space="preserve">Gelbe Zellen sind Eingabefelder.</x:t>
  </x:si>
  <x:si>
    <x:t xml:space="preserve">7</x:t>
  </x:si>
  <x:si>
    <x:t xml:space="preserve">Teilnehmer auf „Unterschriften“ dokumentieren.</x:t>
  </x:si>
  <x:si>
    <x:t xml:space="preserve">Name, Funktion, Datum und Bestätigung eintragen.</x:t>
  </x:si>
  <x:si>
    <x:t xml:space="preserve">Kann digital oder nach Ausdruck verwendet werden.</x:t>
  </x:si>
  <x:si>
    <x:t xml:space="preserve">Quelle: IEC61508-3_Kap_7.3_Reviewprotokoll_Endfassung_2026-08-05.docx</x:t>
  </x:si>
  <x:si>
    <x:t xml:space="preserve">Anhang Formblatt Unterschriften</x:t>
  </x:si>
  <x:si>
    <x:t xml:space="preserve">Name, Vorname, Abteilung, Funktion</x:t>
  </x:si>
  <x:si>
    <x:t xml:space="preserve">Datum</x:t>
  </x:si>
  <x:si>
    <x:t xml:space="preserve">Unterschrift / Bestätigung</x:t>
  </x:si>
</x:sst>
</file>

<file path=xl/styles.xml><?xml version="1.0" encoding="utf-8"?>
<x:styleSheet xmlns:x="http://schemas.openxmlformats.org/spreadsheetml/2006/main">
  <x:numFmts count="1">
    <x:numFmt numFmtId="164" formatCode="dd\.mm\.yyyy"/>
  </x:numFmts>
  <x:fonts count="17">
    <x:font>
      <x:sz val="11"/>
      <x:name val="Carlito"/>
    </x:font>
    <x:font>
      <x:sz val="10"/>
      <x:color rgb="FF222222"/>
      <x:name val="Aptos"/>
    </x:font>
    <x:font>
      <x:b/>
      <x:sz val="18"/>
      <x:color rgb="FFFFFFFF"/>
      <x:name val="Aptos Display"/>
    </x:font>
    <x:font>
      <x:i/>
      <x:sz val="10"/>
      <x:color rgb="FF17365D"/>
      <x:name val="Aptos"/>
    </x:font>
    <x:font>
      <x:b/>
      <x:sz val="11"/>
      <x:color rgb="FFFFFFFF"/>
      <x:name val="Aptos"/>
    </x:font>
    <x:font>
      <x:b/>
      <x:sz val="10"/>
      <x:color rgb="FF17365D"/>
      <x:name val="Aptos"/>
    </x:font>
    <x:font>
      <x:b/>
      <x:sz val="10"/>
      <x:color rgb="FFFFFFFF"/>
      <x:name val="Aptos"/>
    </x:font>
    <x:font>
      <x:b/>
      <x:sz val="14"/>
      <x:color rgb="FF17365D"/>
      <x:name val="Aptos"/>
    </x:font>
    <x:font>
      <x:b/>
      <x:sz val="11"/>
      <x:color rgb="FF17365D"/>
      <x:name val="Aptos"/>
    </x:font>
    <x:font>
      <x:b/>
      <x:sz val="12"/>
      <x:color rgb="FF17365D"/>
      <x:name val="Aptos"/>
    </x:font>
    <x:font>
      <x:i/>
      <x:sz val="9"/>
      <x:color rgb="FF595959"/>
      <x:name val="Aptos"/>
    </x:font>
    <x:font>
      <x:sz val="11"/>
      <x:name val="Carlito"/>
    </x:font>
    <x:font>
      <x:b/>
      <x:sz val="11"/>
      <x:color rgb="FFFFFFFF"/>
      <x:name val="Aptos Display"/>
    </x:font>
    <x:font>
      <x:i/>
      <x:sz val="11"/>
      <x:color rgb="FF17365D"/>
      <x:name val="Aptos"/>
    </x:font>
    <x:font>
      <x:sz val="11"/>
      <x:color rgb="FF222222"/>
      <x:name val="Aptos"/>
    </x:font>
    <x:font>
      <x:i/>
      <x:sz val="11"/>
      <x:color rgb="FF595959"/>
      <x:name val="Aptos"/>
    </x:font>
    <x:font>
      <x:sz val="11"/>
      <x:name val="Aptos"/>
    </x:font>
  </x:fonts>
  <x:fills count="3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5B9BD5"/>
      </x:patternFill>
    </x:fill>
    <x:fill>
      <x:patternFill patternType="solid">
        <x:fgColor rgb="FFFFFFFF"/>
      </x:patternFill>
    </x:fill>
    <x:fill>
      <x:patternFill patternType="solid">
        <x:fgColor rgb="FFE7E6E6"/>
      </x:patternFill>
    </x:fill>
    <x:fill>
      <x:patternFill patternType="solid">
        <x:fgColor rgb="FFFFFFFF"/>
      </x:patternFill>
    </x:fill>
    <x:fill>
      <x:patternFill patternType="solid">
        <x:fgColor rgb="FFFFF2CC"/>
      </x:patternFill>
    </x:fill>
    <x:fill>
      <x:patternFill patternType="solid">
        <x:fgColor rgb="FFEAF3F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86"/>
      </x:patternFill>
    </x:fill>
    <x:fill>
      <x:patternFill patternType="solid">
        <x:fgColor rgb="FFEAF3F8"/>
      </x:patternFill>
    </x:fill>
    <x:fill>
      <x:patternFill patternType="solid">
        <x:fgColor rgb="FFFFFFFF"/>
      </x:patternFill>
    </x:fill>
    <x:fill>
      <x:patternFill patternType="solid">
        <x:fgColor rgb="FFFFF2CC"/>
      </x:patternFill>
    </x:fill>
    <x:fill>
      <x:patternFill patternType="solid">
        <x:fgColor rgb="FFE7E6E6"/>
      </x:patternFill>
    </x:fill>
    <x:fill>
      <x:patternFill patternType="solid">
        <x:fgColor rgb="FF0F6B86"/>
      </x:patternFill>
    </x:fill>
    <x:fill>
      <x:patternFill patternType="solid">
        <x:fgColor rgb="FFEAF3F8"/>
      </x:patternFill>
    </x:fill>
    <x:fill>
      <x:patternFill patternType="solid">
        <x:fgColor rgb="FFFFFFFF"/>
      </x:patternFill>
    </x:fill>
    <x:fill>
      <x:patternFill patternType="solid">
        <x:fgColor rgb="FFFFF2CC"/>
      </x:patternFill>
    </x:fill>
    <x:fill>
      <x:patternFill patternType="solid">
        <x:fgColor rgb="FFE7E6E6"/>
      </x:patternFill>
    </x:fill>
    <x:fill>
      <x:patternFill patternType="solid">
        <x:fgColor rgb="FF0F6B86"/>
      </x:patternFill>
    </x:fill>
    <x:fill>
      <x:patternFill patternType="solid">
        <x:fgColor rgb="FFEAF3F8"/>
      </x:patternFill>
    </x:fill>
    <x:fill>
      <x:patternFill patternType="solid">
        <x:fgColor rgb="FFFFFFFF"/>
      </x:patternFill>
    </x:fill>
    <x:fill>
      <x:patternFill patternType="solid">
        <x:fgColor rgb="FFFFF2CC"/>
      </x:patternFill>
    </x:fill>
    <x:fill>
      <x:patternFill patternType="solid">
        <x:fgColor rgb="FFE7E6E6"/>
      </x:patternFill>
    </x:fill>
  </x:fills>
  <x:borders count="3">
    <x:border/>
    <x:border>
      <x:left style="thin">
        <x:color rgb="FFB4C6D7"/>
      </x:left>
      <x:right style="thin">
        <x:color rgb="FFB4C6D7"/>
      </x:right>
      <x:top style="thin">
        <x:color rgb="FFB4C6D7"/>
      </x:top>
      <x:bottom style="thin">
        <x:color rgb="FFB4C6D7"/>
      </x:bottom>
    </x:border>
    <x:border>
      <x:left style="thin">
        <x:color rgb="FFFFFFFF"/>
      </x:left>
      <x:right style="thin">
        <x:color rgb="FFFFFFFF"/>
      </x:right>
      <x:top style="thin">
        <x:color rgb="FFFFFFFF"/>
      </x:top>
      <x:bottom style="thin">
        <x:color rgb="FFFFFFFF"/>
      </x:bottom>
    </x:border>
  </x:borders>
  <x:cellStyleXfs count="2">
    <x:xf numFmtId="0" fontId="0" fillId="0" borderId="0"/>
    <x:xf numFmtId="0" fontId="11" fillId="0" borderId="0"/>
  </x:cellStyleXfs>
  <x:cellXfs count="113">
    <x:xf numFmtId="0" fontId="0" fillId="0" borderId="0" xfId="0"/>
    <x:xf numFmtId="0" fontId="1" fillId="0" borderId="0" xfId="1" applyFont="1" applyAlignment="1">
      <x:alignment vertical="top"/>
    </x:xf>
    <x:xf numFmtId="0" fontId="5" fillId="5" borderId="1" xfId="1" applyFont="1" applyFill="1" applyBorder="1" applyAlignment="1">
      <x:alignment vertical="center"/>
    </x:xf>
    <x:xf numFmtId="0" fontId="1" fillId="6" borderId="1" xfId="1" applyFont="1" applyFill="1" applyBorder="1" applyAlignment="1">
      <x:alignment vertical="top" wrapText="1"/>
    </x:xf>
    <x:xf numFmtId="164" fontId="1" fillId="6" borderId="1" xfId="1" applyNumberFormat="1" applyFont="1" applyFill="1" applyBorder="1" applyAlignment="1">
      <x:alignment vertical="top" wrapText="1"/>
    </x:xf>
    <x:xf numFmtId="0" fontId="6" fillId="7" borderId="2" xfId="1" applyFont="1" applyFill="1" applyBorder="1" applyAlignment="1">
      <x:alignment horizontal="center" vertical="center"/>
    </x:xf>
    <x:xf numFmtId="0" fontId="7" fillId="5" borderId="1" xfId="1" applyFont="1" applyFill="1" applyBorder="1" applyAlignment="1">
      <x:alignment horizontal="center" vertical="center"/>
    </x:xf>
    <x:xf numFmtId="9" fontId="7" fillId="5" borderId="1" xfId="1" applyNumberFormat="1" applyFont="1" applyFill="1" applyBorder="1" applyAlignment="1">
      <x:alignment horizontal="center" vertical="center"/>
    </x:xf>
    <x:xf numFmtId="0" fontId="4" fillId="4" borderId="2" xfId="1" applyFont="1" applyFill="1" applyBorder="1" applyAlignment="1">
      <x:alignment vertical="center"/>
    </x:xf>
    <x:xf numFmtId="0" fontId="1" fillId="0" borderId="0" xfId="1" applyFont="1" applyAlignment="1">
      <x:alignment vertical="top" wrapText="1"/>
    </x:xf>
    <x:xf numFmtId="0" fontId="1" fillId="0" borderId="1" xfId="1" applyFont="1" applyBorder="1" applyAlignment="1">
      <x:alignment vertical="top" wrapText="1"/>
    </x:xf>
    <x:xf numFmtId="0" fontId="1" fillId="8" borderId="1" xfId="1" applyFont="1" applyFill="1" applyBorder="1" applyAlignment="1">
      <x:alignment vertical="top" wrapText="1"/>
    </x:xf>
    <x:xf numFmtId="0" fontId="1" fillId="5" borderId="1" xfId="1" applyFont="1" applyFill="1" applyBorder="1" applyAlignment="1">
      <x:alignment vertical="top" wrapText="1"/>
    </x:xf>
    <x:xf numFmtId="0" fontId="1" fillId="8" borderId="1" xfId="1" applyFont="1" applyFill="1" applyBorder="1" applyAlignment="1">
      <x:alignment horizontal="center" vertical="top" wrapText="1"/>
    </x:xf>
    <x:xf numFmtId="0" fontId="1" fillId="6" borderId="1" xfId="1" applyFont="1" applyFill="1" applyBorder="1" applyAlignment="1">
      <x:alignment horizontal="center" vertical="top" wrapText="1"/>
    </x:xf>
    <x:xf numFmtId="0" fontId="8" fillId="5" borderId="1" xfId="1" applyFont="1" applyFill="1" applyBorder="1" applyAlignment="1">
      <x:alignment horizontal="center" vertical="center"/>
    </x:xf>
    <x:xf numFmtId="0" fontId="9" fillId="0" borderId="0" xfId="1" applyFont="1" applyAlignment="1">
      <x:alignment horizontal="center" vertical="top" wrapText="1"/>
    </x:xf>
    <x:xf numFmtId="0" fontId="1" fillId="10" borderId="1" xfId="1" applyFont="1" applyFill="1" applyBorder="1" applyAlignment="1">
      <x:alignment horizontal="center" vertical="top" wrapText="1"/>
    </x:xf>
    <x:xf numFmtId="0" fontId="1" fillId="10" borderId="1" xfId="1" applyFont="1" applyFill="1" applyBorder="1" applyAlignment="1">
      <x:alignment vertical="top" wrapText="1"/>
    </x:xf>
    <x:xf numFmtId="0" fontId="1" fillId="11" borderId="1" xfId="1" applyFont="1" applyFill="1" applyBorder="1" applyAlignment="1">
      <x:alignment vertical="top" wrapText="1"/>
    </x:xf>
    <x:xf numFmtId="0" fontId="1" fillId="12" borderId="1" xfId="1" applyFont="1" applyFill="1" applyBorder="1" applyAlignment="1">
      <x:alignment vertical="top" wrapText="1"/>
    </x:xf>
    <x:xf numFmtId="0" fontId="1" fillId="11" borderId="1" xfId="1" applyFont="1" applyFill="1" applyBorder="1" applyAlignment="1">
      <x:alignment horizontal="center" vertical="top" wrapText="1"/>
    </x:xf>
    <x:xf numFmtId="0" fontId="2" fillId="2" borderId="0" xfId="1" applyFont="1" applyFill="1" applyAlignment="1">
      <x:alignment horizontal="left" vertical="center"/>
    </x:xf>
    <x:xf numFmtId="0" fontId="3" fillId="3" borderId="0" xfId="1" applyFont="1" applyFill="1" applyAlignment="1">
      <x:alignment vertical="center"/>
    </x:xf>
    <x:xf numFmtId="0" fontId="4" fillId="4" borderId="0" xfId="1" applyFont="1" applyFill="1" applyAlignment="1">
      <x:alignment vertical="center"/>
    </x:xf>
    <x:xf numFmtId="0" fontId="1" fillId="6" borderId="1" xfId="1" applyFont="1" applyFill="1" applyBorder="1" applyAlignment="1">
      <x:alignment vertical="top" wrapText="1"/>
    </x:xf>
    <x:xf numFmtId="164" fontId="1" fillId="6" borderId="1" xfId="1" applyNumberFormat="1" applyFont="1" applyFill="1" applyBorder="1" applyAlignment="1">
      <x:alignment vertical="top" wrapText="1"/>
    </x:xf>
    <x:xf numFmtId="0" fontId="3" fillId="3" borderId="0" xfId="1" applyFont="1" applyFill="1" applyAlignment="1">
      <x:alignment vertical="center" wrapText="1"/>
    </x:xf>
    <x:xf numFmtId="0" fontId="3" fillId="3" borderId="0" xfId="1" applyFont="1" applyFill="1" applyAlignment="1">
      <x:alignment vertical="top"/>
    </x:xf>
    <x:xf numFmtId="0" fontId="10" fillId="9" borderId="0" xfId="1" applyFont="1" applyFill="1" applyAlignment="1">
      <x:alignment vertical="top"/>
    </x:xf>
    <x:xf numFmtId="0" fontId="4" fillId="4"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1" fillId="6" borderId="1" xfId="0" applyNumberFormat="1" applyFont="1" applyFill="1" applyBorder="1" applyAlignment="1">
      <x:alignment vertical="top" wrapText="1"/>
    </x:xf>
    <x:xf numFmtId="164" fontId="1" fillId="6" borderId="1" xfId="0" applyNumberFormat="1" applyFont="1" applyFill="1" applyBorder="1" applyAlignment="1">
      <x:alignment vertical="top" wrapText="1"/>
    </x:xf>
    <x:xf numFmtId="0" fontId="1" fillId="0" borderId="0" xfId="0" applyNumberFormat="1" applyFont="1" applyFill="1" applyBorder="1" applyAlignment="1">
      <x:alignment vertical="top"/>
    </x:xf>
    <x:xf numFmtId="0" fontId="6" fillId="7" borderId="2" xfId="0" applyNumberFormat="1" applyFont="1" applyFill="1" applyBorder="1" applyAlignment="1">
      <x:alignment horizontal="center" vertical="center"/>
    </x:xf>
    <x:xf numFmtId="0" fontId="7" fillId="5" borderId="1" xfId="0" applyNumberFormat="1" applyFont="1" applyFill="1" applyBorder="1" applyAlignment="1">
      <x:alignment horizontal="center" vertical="center"/>
    </x:xf>
    <x:xf numFmtId="9" fontId="7" fillId="5" borderId="1" xfId="0" applyNumberFormat="1" applyFont="1" applyFill="1" applyBorder="1" applyAlignment="1">
      <x:alignment horizontal="center" vertical="center"/>
    </x:xf>
    <x:xf numFmtId="0" fontId="4" fillId="4" borderId="2" xfId="0" applyNumberFormat="1" applyFont="1" applyFill="1" applyBorder="1" applyAlignment="1">
      <x:alignment vertical="center"/>
    </x:xf>
    <x:xf numFmtId="0" fontId="1" fillId="0" borderId="1" xfId="0" applyNumberFormat="1" applyFont="1" applyFill="1" applyBorder="1" applyAlignment="1">
      <x:alignment vertical="top" wrapText="1"/>
    </x:xf>
    <x:xf numFmtId="0" fontId="1" fillId="8" borderId="1" xfId="0" applyNumberFormat="1" applyFont="1" applyFill="1" applyBorder="1" applyAlignment="1">
      <x:alignment horizontal="center" vertical="top" wrapText="1"/>
    </x:xf>
    <x:xf numFmtId="0" fontId="1" fillId="8"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6" borderId="1" xfId="0" applyNumberFormat="1" applyFont="1" applyFill="1" applyBorder="1" applyAlignment="1">
      <x:alignment horizontal="center" vertical="top" wrapText="1"/>
    </x:xf>
    <x:xf numFmtId="0" fontId="8" fillId="5" borderId="1" xfId="0" applyNumberFormat="1" applyFont="1" applyFill="1" applyBorder="1" applyAlignment="1">
      <x:alignment horizontal="center" vertical="center"/>
    </x:xf>
    <x:xf numFmtId="0" fontId="1" fillId="0" borderId="0" xfId="0" applyNumberFormat="1" applyFont="1" applyFill="1" applyBorder="1" applyAlignment="1">
      <x:alignment vertical="top" wrapText="1"/>
    </x:xf>
    <x:xf numFmtId="0" fontId="9" fillId="0" borderId="0" xfId="0" applyNumberFormat="1" applyFont="1" applyFill="1" applyBorder="1" applyAlignment="1">
      <x:alignment horizontal="center" vertical="top" wrapText="1"/>
    </x:xf>
    <x:xf numFmtId="0" fontId="10" fillId="9" borderId="0" xfId="0" applyNumberFormat="1" applyFont="1" applyFill="1" applyBorder="1" applyAlignment="1">
      <x:alignment vertical="top"/>
    </x:xf>
    <x:xf numFmtId="0" fontId="2" fillId="2" borderId="0" xfId="0" applyNumberFormat="1" applyFont="1" applyFill="1" applyBorder="1" applyAlignment="1">
      <x:alignment horizontal="left" vertical="center" wrapText="1"/>
    </x:xf>
    <x:xf numFmtId="0" fontId="4" fillId="4" borderId="0" xfId="0" applyNumberFormat="1" applyFont="1" applyFill="1" applyBorder="1" applyAlignment="1">
      <x:alignment vertical="center" wrapText="1"/>
    </x:xf>
    <x:xf numFmtId="0" fontId="10" fillId="9" borderId="0" xfId="0" applyNumberFormat="1" applyFont="1" applyFill="1" applyBorder="1" applyAlignment="1">
      <x:alignment vertical="top"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horizontal="left"/>
    </x:xf>
    <x:xf numFmtId="0" fontId="12" fillId="13" borderId="0" xfId="0" applyNumberFormat="1" applyFont="1" applyFill="1" applyBorder="1" applyAlignment="1">
      <x:alignment horizontal="left" vertical="center"/>
    </x:xf>
    <x:xf numFmtId="0" fontId="0"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vertical="center"/>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vertical="center"/>
    </x:xf>
    <x:xf numFmtId="0" fontId="0" fillId="16" borderId="0" xfId="0" applyNumberFormat="1" applyFont="1" applyFill="1" applyBorder="1"/>
    <x:xf numFmtId="0" fontId="4" fillId="16" borderId="0" xfId="0" applyNumberFormat="1" applyFont="1" applyFill="1" applyBorder="1"/>
    <x:xf numFmtId="0" fontId="4" fillId="16" borderId="1" xfId="0" applyNumberFormat="1" applyFont="1" applyFill="1" applyBorder="1"/>
    <x:xf numFmtId="0" fontId="4" fillId="16" borderId="1" xfId="0" applyNumberFormat="1" applyFont="1" applyFill="1" applyBorder="1" applyAlignment="1">
      <x:alignment wrapText="1"/>
    </x:xf>
    <x:xf numFmtId="0" fontId="4" fillId="16" borderId="1" xfId="0" applyNumberFormat="1" applyFont="1" applyFill="1" applyBorder="1" applyAlignment="1">
      <x:alignment vertical="center" wrapText="1"/>
    </x:xf>
    <x:xf numFmtId="0" fontId="14" fillId="0" borderId="0" xfId="0" applyNumberFormat="1" applyFont="1" applyFill="1" applyBorder="1"/>
    <x:xf numFmtId="0" fontId="14" fillId="0" borderId="1" xfId="0" applyNumberFormat="1" applyFont="1" applyFill="1" applyBorder="1"/>
    <x:xf numFmtId="0" fontId="14" fillId="0" borderId="1" xfId="0" applyNumberFormat="1" applyFont="1" applyFill="1" applyBorder="1" applyAlignment="1">
      <x:alignment wrapText="1"/>
    </x:xf>
    <x:xf numFmtId="0" fontId="14" fillId="0" borderId="1" xfId="0" applyNumberFormat="1" applyFont="1" applyFill="1" applyBorder="1" applyAlignment="1">
      <x:alignment vertical="top" wrapText="1"/>
    </x:xf>
    <x:xf numFmtId="0" fontId="14" fillId="17" borderId="1" xfId="0" applyNumberFormat="1" applyFont="1" applyFill="1" applyBorder="1" applyAlignment="1">
      <x:alignment vertical="top" wrapText="1"/>
    </x:xf>
    <x:xf numFmtId="0" fontId="14" fillId="17" borderId="1" xfId="0" applyNumberFormat="1" applyFont="1" applyFill="1" applyBorder="1" applyAlignment="1">
      <x:alignment horizontal="center" vertical="top" wrapText="1"/>
    </x:xf>
    <x:xf numFmtId="0" fontId="14" fillId="18" borderId="1" xfId="0" applyNumberFormat="1" applyFont="1" applyFill="1" applyBorder="1" applyAlignment="1">
      <x:alignment vertical="top" wrapText="1"/>
    </x:xf>
    <x:xf numFmtId="0" fontId="14" fillId="19" borderId="1" xfId="0" applyNumberFormat="1" applyFont="1" applyFill="1" applyBorder="1" applyAlignment="1">
      <x:alignment vertical="top" wrapText="1"/>
    </x:xf>
    <x:xf numFmtId="0" fontId="0" fillId="20" borderId="0" xfId="0" applyNumberFormat="1" applyFont="1" applyFill="1" applyBorder="1"/>
    <x:xf numFmtId="0" fontId="15" fillId="20" borderId="0" xfId="0" applyNumberFormat="1" applyFont="1" applyFill="1" applyBorder="1"/>
    <x:xf numFmtId="0" fontId="15" fillId="20" borderId="0" xfId="0" applyNumberFormat="1" applyFont="1" applyFill="1" applyBorder="1" applyAlignment="1">
      <x:alignment wrapText="1"/>
    </x:xf>
    <x:xf numFmtId="0" fontId="12" fillId="13" borderId="0" xfId="0" applyNumberFormat="1" applyFont="1" applyFill="1" applyBorder="1" applyAlignment="1">
      <x:alignment horizontal="left" vertical="center" wrapText="1"/>
    </x:xf>
    <x:xf numFmtId="0" fontId="13" fillId="1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15" borderId="0" xfId="0" applyNumberFormat="1" applyFont="1" applyFill="1" applyBorder="1" applyAlignment="1">
      <x:alignment vertical="center" wrapText="1"/>
    </x:xf>
    <x:xf numFmtId="0" fontId="4" fillId="2" borderId="0" xfId="0" applyNumberFormat="1" applyFont="1" applyFill="1" applyBorder="1" applyAlignment="1">
      <x:alignment horizontal="left" vertical="center" wrapText="1"/>
    </x:xf>
    <x:xf numFmtId="0" fontId="13" fillId="3" borderId="0" xfId="0" applyNumberFormat="1" applyFont="1" applyFill="1" applyBorder="1" applyAlignment="1">
      <x:alignment vertical="center"/>
    </x:xf>
    <x:xf numFmtId="0" fontId="14" fillId="0" borderId="0" xfId="0" applyNumberFormat="1" applyFont="1" applyFill="1" applyBorder="1" applyAlignment="1">
      <x:alignment vertical="top"/>
    </x:xf>
    <x:xf numFmtId="0" fontId="8" fillId="5" borderId="1" xfId="0" applyNumberFormat="1" applyFont="1" applyFill="1" applyBorder="1" applyAlignment="1">
      <x:alignment vertical="center"/>
    </x:xf>
    <x:xf numFmtId="0" fontId="14" fillId="6" borderId="1" xfId="0" applyNumberFormat="1" applyFont="1" applyFill="1" applyBorder="1" applyAlignment="1">
      <x:alignment vertical="top" wrapText="1"/>
    </x:xf>
    <x:xf numFmtId="164" fontId="14" fillId="6" borderId="1" xfId="0" applyNumberFormat="1" applyFont="1" applyFill="1" applyBorder="1" applyAlignment="1">
      <x:alignment vertical="top" wrapText="1"/>
    </x:xf>
    <x:xf numFmtId="0" fontId="4" fillId="7" borderId="2" xfId="0" applyNumberFormat="1" applyFont="1" applyFill="1" applyBorder="1" applyAlignment="1">
      <x:alignment horizontal="center" vertical="center"/>
    </x:xf>
    <x:xf numFmtId="9" fontId="8" fillId="5" borderId="1" xfId="0" applyNumberFormat="1" applyFont="1" applyFill="1" applyBorder="1" applyAlignment="1">
      <x:alignment horizontal="center" vertical="center"/>
    </x:xf>
    <x:xf numFmtId="0" fontId="4" fillId="2" borderId="0" xfId="0" applyNumberFormat="1" applyFont="1" applyFill="1" applyBorder="1" applyAlignment="1">
      <x:alignment horizontal="left" vertical="center"/>
    </x:xf>
    <x:xf numFmtId="0" fontId="13" fillId="3" borderId="0" xfId="0" applyNumberFormat="1" applyFont="1" applyFill="1" applyBorder="1" applyAlignment="1">
      <x:alignment vertical="center" wrapText="1"/>
    </x:xf>
    <x:xf numFmtId="0" fontId="14" fillId="8" borderId="1" xfId="0" applyNumberFormat="1" applyFont="1" applyFill="1" applyBorder="1" applyAlignment="1">
      <x:alignment horizontal="center" vertical="top" wrapText="1"/>
    </x:xf>
    <x:xf numFmtId="0" fontId="14" fillId="8" borderId="1" xfId="0" applyNumberFormat="1" applyFont="1" applyFill="1" applyBorder="1" applyAlignment="1">
      <x:alignment vertical="top" wrapText="1"/>
    </x:xf>
    <x:xf numFmtId="0" fontId="14" fillId="5" borderId="1" xfId="0" applyNumberFormat="1" applyFont="1" applyFill="1" applyBorder="1" applyAlignment="1">
      <x:alignment vertical="top" wrapText="1"/>
    </x:xf>
    <x:xf numFmtId="0" fontId="14" fillId="6" borderId="1"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3" fillId="3" borderId="0" xfId="0" applyNumberFormat="1" applyFont="1" applyFill="1" applyBorder="1" applyAlignment="1">
      <x:alignment vertical="top"/>
    </x:xf>
    <x:xf numFmtId="0" fontId="8" fillId="0" borderId="0" xfId="0" applyNumberFormat="1" applyFont="1" applyFill="1" applyBorder="1" applyAlignment="1">
      <x:alignment horizontal="center" vertical="top" wrapText="1"/>
    </x:xf>
    <x:xf numFmtId="0" fontId="15" fillId="9" borderId="0" xfId="0" applyNumberFormat="1" applyFont="1" applyFill="1" applyBorder="1" applyAlignment="1">
      <x:alignment vertical="top" wrapText="1"/>
    </x:xf>
    <x:xf numFmtId="0" fontId="16" fillId="0" borderId="0" xfId="0" applyNumberFormat="1" applyFont="1" applyFill="1" applyBorder="1" applyAlignment="1">
      <x:alignment wrapText="1"/>
    </x:xf>
    <x:xf numFmtId="0" fontId="14" fillId="5" borderId="1" xfId="0" applyNumberFormat="1" applyFont="1" applyFill="1" applyBorder="1" applyAlignment="1">
      <x:alignment horizontal="center" vertical="top" wrapText="1"/>
    </x:xf>
    <x:xf numFmtId="0" fontId="15" fillId="9" borderId="0" xfId="0" applyNumberFormat="1" applyFont="1" applyFill="1" applyBorder="1" applyAlignment="1">
      <x:alignment wrapText="1"/>
    </x:xf>
    <x:xf numFmtId="0" fontId="2" fillId="2" borderId="0" xfId="0" applyNumberFormat="1" applyFont="1" applyFill="1" applyBorder="1" applyAlignment="1">
      <x:alignment horizontal="left" vertical="center"/>
    </x:xf>
    <x:xf numFmtId="0" fontId="4" fillId="21" borderId="1" xfId="0" applyNumberFormat="1" applyFont="1" applyFill="1" applyBorder="1" applyAlignment="1">
      <x:alignment vertical="center" wrapText="1"/>
    </x:xf>
    <x:xf numFmtId="0" fontId="14" fillId="22" borderId="1" xfId="0" applyNumberFormat="1" applyFont="1" applyFill="1" applyBorder="1" applyAlignment="1">
      <x:alignment horizontal="center" vertical="top" wrapText="1"/>
    </x:xf>
    <x:xf numFmtId="0" fontId="14" fillId="23" borderId="1" xfId="0" applyNumberFormat="1" applyFont="1" applyFill="1" applyBorder="1" applyAlignment="1">
      <x:alignment vertical="top" wrapText="1"/>
    </x:xf>
    <x:xf numFmtId="0" fontId="14" fillId="24" borderId="1" xfId="0" applyNumberFormat="1" applyFont="1" applyFill="1" applyBorder="1" applyAlignment="1">
      <x:alignment vertical="top" wrapText="1"/>
    </x:xf>
    <x:xf numFmtId="0" fontId="15" fillId="25" borderId="0" xfId="0" applyNumberFormat="1" applyFont="1" applyFill="1" applyBorder="1" applyAlignment="1">
      <x:alignment wrapText="1"/>
    </x:xf>
    <x:xf numFmtId="0" fontId="4" fillId="26" borderId="1" xfId="0" applyNumberFormat="1" applyFont="1" applyFill="1" applyBorder="1" applyAlignment="1">
      <x:alignment vertical="center" wrapText="1"/>
    </x:xf>
    <x:xf numFmtId="0" fontId="14" fillId="27" borderId="1" xfId="0" applyNumberFormat="1" applyFont="1" applyFill="1" applyBorder="1" applyAlignment="1">
      <x:alignment horizontal="center" vertical="top" wrapText="1"/>
    </x:xf>
    <x:xf numFmtId="0" fontId="14" fillId="28" borderId="1" xfId="0" applyNumberFormat="1" applyFont="1" applyFill="1" applyBorder="1" applyAlignment="1">
      <x:alignment vertical="top" wrapText="1"/>
    </x:xf>
    <x:xf numFmtId="0" fontId="14" fillId="29" borderId="1" xfId="0" applyNumberFormat="1" applyFont="1" applyFill="1" applyBorder="1" applyAlignment="1">
      <x:alignment vertical="top" wrapText="1"/>
    </x:xf>
    <x:xf numFmtId="0" fontId="15" fillId="30" borderId="0" xfId="0" applyNumberFormat="1" applyFont="1" applyFill="1" applyBorder="1" applyAlignment="1">
      <x:alignment wrapText="1"/>
    </x:xf>
  </x:cellXfs>
  <x:cellStyles count="2">
    <x:cellStyle name="Normal" xfId="1"/>
    <x:cellStyle name="Standard" xfId="0"/>
  </x:cellStyles>
  <x:dxfs count="16">
    <x:dxf>
      <x:font>
        <x:color rgb="FF9C0006"/>
      </x:font>
      <x:fill>
        <x:patternFill>
          <x:bgColor rgb="FFF4CCCC"/>
        </x:patternFill>
      </x:fill>
    </x:dxf>
    <x:dxf>
      <x:font>
        <x:b/>
        <x:color rgb="FF215E21"/>
      </x:font>
      <x:fill>
        <x:patternFill>
          <x:bgColor rgb="FFC6E0B4"/>
        </x:patternFill>
      </x:fill>
    </x:dxf>
    <x:dxf>
      <x:font>
        <x:color rgb="FF9C0006"/>
      </x:font>
      <x:fill>
        <x:patternFill>
          <x:bgColor rgb="FFF4CCCC"/>
        </x:patternFill>
      </x:fill>
    </x:dxf>
    <x:dxf>
      <x:font>
        <x:b/>
        <x:color rgb="FF215E21"/>
      </x:font>
      <x:fill>
        <x:patternFill>
          <x:bgColor rgb="FFC6E0B4"/>
        </x:patternFill>
      </x:fill>
    </x:dxf>
    <x:dxf>
      <x:font>
        <x:b/>
        <x:color rgb="FF17365D"/>
      </x:font>
      <x:fill>
        <x:patternFill>
          <x:bgColor rgb="FFD9EAF7"/>
        </x:patternFill>
      </x:fill>
    </x:dxf>
    <x:dxf>
      <x:font>
        <x:b/>
        <x:color rgb="FF5F497A"/>
      </x:font>
      <x:fill>
        <x:patternFill>
          <x:bgColor rgb="FFE4DFEC"/>
        </x:patternFill>
      </x:fill>
    </x:dxf>
    <x:dxf>
      <x:font>
        <x:b/>
        <x:color rgb="FF215E21"/>
      </x:font>
      <x:fill>
        <x:patternFill>
          <x:bgColor rgb="FFC6E0B4"/>
        </x:patternFill>
      </x:fill>
    </x:dxf>
    <x:dxf>
      <x:font>
        <x:b/>
        <x:color rgb="FF17365D"/>
      </x:font>
      <x:fill>
        <x:patternFill>
          <x:bgColor rgb="FFD9EAF7"/>
        </x:patternFill>
      </x:fill>
    </x:dxf>
    <x:dxf>
      <x:font>
        <x:color rgb="FF17365D"/>
      </x:font>
      <x:fill>
        <x:patternFill>
          <x:bgColor rgb="FFD9EAF7"/>
        </x:patternFill>
      </x:fill>
    </x:dxf>
    <x:dxf>
      <x:font>
        <x:color rgb="FF595959"/>
      </x:font>
      <x:fill>
        <x:patternFill>
          <x:bgColor rgb="FFE7E6E6"/>
        </x:patternFill>
      </x:fill>
    </x:dxf>
    <x:dxf>
      <x:font>
        <x:b/>
        <x:color rgb="FF9C0006"/>
      </x:font>
      <x:fill>
        <x:patternFill>
          <x:bgColor rgb="FFF4CCCC"/>
        </x:patternFill>
      </x:fill>
    </x:dxf>
    <x:dxf>
      <x:font>
        <x:b/>
        <x:color rgb="FF215E21"/>
      </x:font>
      <x:fill>
        <x:patternFill>
          <x:bgColor rgb="FFC6E0B4"/>
        </x:patternFill>
      </x:fill>
    </x:dxf>
    <x:dxf>
      <x:font>
        <x:color rgb="FF17365D"/>
      </x:font>
      <x:fill>
        <x:patternFill>
          <x:bgColor rgb="FFD9EAF7"/>
        </x:patternFill>
      </x:fill>
    </x:dxf>
    <x:dxf>
      <x:font>
        <x:color rgb="FF595959"/>
      </x:font>
      <x:fill>
        <x:patternFill>
          <x:bgColor rgb="FFE7E6E6"/>
        </x:patternFill>
      </x:fill>
    </x:dxf>
    <x:dxf>
      <x:font>
        <x:b/>
        <x:color rgb="FF9C0006"/>
      </x:font>
      <x:fill>
        <x:patternFill>
          <x:bgColor rgb="FFF4CCCC"/>
        </x:patternFill>
      </x:fill>
    </x:dxf>
    <x:dxf>
      <x:font>
        <x:b/>
        <x:color rgb="FF215E21"/>
      </x:font>
      <x:fill>
        <x:patternFill>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10c7c96e4f49ec" /><Relationship Type="http://schemas.openxmlformats.org/officeDocument/2006/relationships/theme" Target="/xl/theme/theme1.xml" Id="R5708ab1f45c548cc" /><Relationship Type="http://schemas.openxmlformats.org/officeDocument/2006/relationships/sharedStrings" Target="/xl/sharedStrings.xml" Id="R8908c6fa5b5d43b1" /><Relationship Type="http://schemas.openxmlformats.org/officeDocument/2006/relationships/worksheet" Target="/xl/worksheets/sheet1.xml" Id="R6a7a014f3be84f4e" /><Relationship Type="http://schemas.openxmlformats.org/officeDocument/2006/relationships/worksheet" Target="/xl/worksheets/sheet2.xml" Id="R68cbc0192d2b424a" /><Relationship Type="http://schemas.openxmlformats.org/officeDocument/2006/relationships/worksheet" Target="/xl/worksheets/sheet3.xml" Id="Rd1e7606194754c4f" /><Relationship Type="http://schemas.openxmlformats.org/officeDocument/2006/relationships/worksheet" Target="/xl/worksheets/sheet4.xml" Id="R11710ea3ee1c41d6" /><Relationship Type="http://schemas.openxmlformats.org/officeDocument/2006/relationships/worksheet" Target="/xl/worksheets/sheet5.xml" Id="R7c07be676cf24990" /><Relationship Type="http://schemas.openxmlformats.org/officeDocument/2006/relationships/worksheet" Target="/xl/worksheets/sheet6.xml" Id="R76af0442687e48b3" /><Relationship Type="http://schemas.openxmlformats.org/officeDocument/2006/relationships/worksheet" Target="/xl/worksheets/sheet7.xml" Id="R03198940304e4b79" /></Relationships>
</file>

<file path=xl/tables/table1.xml><?xml version="1.0" encoding="utf-8"?>
<x:table xmlns:x="http://schemas.openxmlformats.org/spreadsheetml/2006/main" id="8" name="Reviewpunkte_7_3" displayName="Reviewpunkte_7_3" ref="A7:G13" totalsRowShown="0">
  <x:autoFilter ref="A7:G13"/>
  <x:tableColumns count="7">
    <x:tableColumn id="1" name="Nr."/>
    <x:tableColumn id="2" name="Normkapitel"/>
    <x:tableColumn id="3" name="Prüffrage / Prüfkriterium"/>
    <x:tableColumn id="4" name="Prüfergebnis"/>
    <x:tableColumn id="5" name="Kommentar / Nachweis"/>
    <x:tableColumn id="6" name="E/A-Dokumente (IDs)"/>
    <x:tableColumn id="7" name="Status / OK"/>
  </x:tableColumns>
  <x:tableStyleInfo name="TableStyleMedium2" showFirstColumn="0" showLastColumn="0" showRowStripes="1" showColumnStripes="0"/>
</x:table>
</file>

<file path=xl/tables/table2.xml><?xml version="1.0" encoding="utf-8"?>
<x:table xmlns:x="http://schemas.openxmlformats.org/spreadsheetml/2006/main" id="9" name="Dokumentenregister_7_3" displayName="Dokumentenregister_7_3" ref="A7:K19" totalsRowShown="0">
  <x:autoFilter ref="A7:K19"/>
  <x:tableColumns count="11">
    <x:tableColumn id="1" name="ID"/>
    <x:tableColumn id="2" name="Art"/>
    <x:tableColumn id="3" name="Normbegriff / Dokument"/>
    <x:tableColumn id="4" name="Funktion / erwarteter Inhalt"/>
    <x:tableColumn id="5" name="Bezug Prüfpunkt"/>
    <x:tableColumn id="6" name="Normreferenz"/>
    <x:tableColumn id="7" name="Dokumentkennung / Referenz"/>
    <x:tableColumn id="8" name="Version / Index"/>
    <x:tableColumn id="9" name="Status"/>
    <x:tableColumn id="10" name="Verantwortlich"/>
    <x:tableColumn id="11" name="Ablageort / Link"/>
  </x:tableColumns>
  <x:tableStyleInfo name="TableStyleMedium2" showFirstColumn="0" showLastColumn="0" showRowStripes="1" showColumnStripes="0"/>
</x:table>
</file>

<file path=xl/tables/table3.xml><?xml version="1.0" encoding="utf-8"?>
<x:table xmlns:x="http://schemas.openxmlformats.org/spreadsheetml/2006/main" id="3" name="ReviewMassnahmen" displayName="ReviewMassnahmen" ref="A5:G25" totalsRowShown="0">
  <x:autoFilter ref="A5:G25"/>
  <x:tableColumns count="7">
    <x:tableColumn id="1" name="ID"/>
    <x:tableColumn id="2" name="Typ"/>
    <x:tableColumn id="3" name="Review-Ergebnis / Maßnahme"/>
    <x:tableColumn id="4" name="Bezug Prüfpunkt"/>
    <x:tableColumn id="5" name="Verantwortlich"/>
    <x:tableColumn id="6" name="Fällig am"/>
    <x:tableColumn id="7" name="Status"/>
  </x:tableColumns>
  <x:tableStyleInfo name="TableStyleMedium2" showFirstColumn="0" showLastColumn="0" showRowStripes="1" showColumnStripes="0"/>
</x:table>
</file>

<file path=xl/tables/table4.xml><?xml version="1.0" encoding="utf-8"?>
<x:table xmlns:x="http://schemas.openxmlformats.org/spreadsheetml/2006/main" id="5" name="Empfehlungslegende" displayName="Empfehlungslegende" ref="A5:D9" totalsRowShown="0">
  <x:tableColumns count="4">
    <x:tableColumn id="1" name="Kennzeichen"/>
    <x:tableColumn id="2" name="Bedeutung"/>
    <x:tableColumn id="3" name="Anwendung im Review"/>
    <x:tableColumn id="4" name="Geltungsbereich"/>
  </x:tableColumns>
  <x:tableStyleInfo name="TableStyleMedium2" showFirstColumn="0" showLastColumn="0" showRowStripes="1" showColumnStripes="0"/>
</x:table>
</file>

<file path=xl/tables/table5.xml><?xml version="1.0" encoding="utf-8"?>
<x:table xmlns:x="http://schemas.openxmlformats.org/spreadsheetml/2006/main" id="6" name="Arbeitsweise" displayName="Arbeitsweise" ref="A12:D19" totalsRowShown="0">
  <x:tableColumns count="4">
    <x:tableColumn id="1" name="Schritt"/>
    <x:tableColumn id="2" name="Vorgehen"/>
    <x:tableColumn id="3" name="Dokumentation"/>
    <x:tableColumn id="4" name="Hinweis"/>
  </x:tableColumns>
  <x:tableStyleInfo name="TableStyleMedium2" showFirstColumn="0" showLastColumn="0" showRowStripes="1" showColumnStripes="0"/>
</x:table>
</file>

<file path=xl/tables/table6.xml><?xml version="1.0" encoding="utf-8"?>
<x:table xmlns:x="http://schemas.openxmlformats.org/spreadsheetml/2006/main" id="7" name="ReviewUnterschriften" displayName="ReviewUnterschriften" ref="A4:C11" totalsRowShown="0">
  <x:tableColumns count="3">
    <x:tableColumn id="1" name="Name, Vorname, Abteilung, Funktion"/>
    <x:tableColumn id="2" name="Datum"/>
    <x:tableColumn id="3" name="Unterschrift / Bestätig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45c39d34c8430c" /></Relationships>
</file>

<file path=xl/worksheets/_rels/sheet3.xml.rels>&#65279;<?xml version="1.0" encoding="utf-8"?><Relationships xmlns="http://schemas.openxmlformats.org/package/2006/relationships"><Relationship Type="http://schemas.openxmlformats.org/officeDocument/2006/relationships/table" Target="/xl/tables/table2.xml" Id="Re3e9ef4d121b4bd4" /></Relationships>
</file>

<file path=xl/worksheets/_rels/sheet4.xml.rels>&#65279;<?xml version="1.0" encoding="utf-8"?><Relationships xmlns="http://schemas.openxmlformats.org/package/2006/relationships"><Relationship Type="http://schemas.openxmlformats.org/officeDocument/2006/relationships/table" Target="/xl/tables/table3.xml" Id="R009f07b9908e4c48" /></Relationships>
</file>

<file path=xl/worksheets/_rels/sheet5.xml.rels>&#65279;<?xml version="1.0" encoding="utf-8"?><Relationships xmlns="http://schemas.openxmlformats.org/package/2006/relationships"><Relationship Type="http://schemas.openxmlformats.org/officeDocument/2006/relationships/table" Target="/xl/tables/table4.xml" Id="R3405ed320ade4c2d" /><Relationship Type="http://schemas.openxmlformats.org/officeDocument/2006/relationships/table" Target="/xl/tables/table5.xml" Id="R84c87cd5e0034f95" /></Relationships>
</file>

<file path=xl/worksheets/_rels/sheet6.xml.rels>&#65279;<?xml version="1.0" encoding="utf-8"?><Relationships xmlns="http://schemas.openxmlformats.org/package/2006/relationships"><Relationship Type="http://schemas.openxmlformats.org/officeDocument/2006/relationships/table" Target="/xl/tables/table6.xml" Id="Re4f0d58ce5b84b0a" /></Relationships>
</file>

<file path=xl/worksheets/sheet1.xml><?xml version="1.0" encoding="utf-8"?>
<x:worksheet xmlns:x="http://schemas.openxmlformats.org/spreadsheetml/2006/main">
  <x:sheetViews>
    <x:sheetView showGridLines="0" workbookViewId="0"/>
  </x:sheetViews>
  <x:sheetFormatPr baseColWidth="10" defaultColWidth="9" defaultRowHeight="14.25"/>
  <x:cols>
    <x:col min="1" max="1" width="22" customWidth="1"/>
    <x:col min="2" max="4" width="14" customWidth="1"/>
    <x:col min="5" max="5" width="19" customWidth="1"/>
    <x:col min="6" max="8" width="14" customWidth="1"/>
  </x:cols>
  <x:sheetData>
    <x:row r="1" ht="42" customHeight="1">
      <x:c r="A1" s="48" t="str">
        <x:v>Reviewprotokoll IEC 61508-2 – Kapitel 7.3
Planung der Validierung der Sicherheit des E/E/PE-Systems</x:v>
      </x:c>
      <x:c r="B1" s="81"/>
      <x:c r="C1" s="81"/>
      <x:c r="D1" s="81"/>
      <x:c r="E1" s="81"/>
      <x:c r="F1" s="81"/>
      <x:c r="G1" s="81"/>
      <x:c r="H1" s="81"/>
    </x:row>
    <x:row r="2" ht="42" customHeight="1">
      <x:c r="A2" s="48"/>
      <x:c r="B2" s="81"/>
      <x:c r="C2" s="81"/>
      <x:c r="D2" s="81"/>
      <x:c r="E2" s="81"/>
      <x:c r="F2" s="81"/>
      <x:c r="G2" s="81"/>
      <x:c r="H2" s="81"/>
    </x:row>
    <x:row r="3">
      <x:c r="A3" s="82" t="str">
        <x:v>Strukturierte Arbeitsmappe für SIL 1 bis SIL 3 · Eingabefelder sind gelb markiert</x:v>
      </x:c>
      <x:c r="B3" s="82"/>
      <x:c r="C3" s="82"/>
      <x:c r="D3" s="82"/>
      <x:c r="E3" s="82"/>
      <x:c r="F3" s="82"/>
      <x:c r="G3" s="82"/>
      <x:c r="H3" s="82"/>
    </x:row>
    <x:row r="4">
      <x:c r="A4" s="83"/>
      <x:c r="B4" s="83"/>
      <x:c r="C4" s="83"/>
      <x:c r="D4" s="83"/>
      <x:c r="E4" s="83"/>
      <x:c r="F4" s="83"/>
      <x:c r="G4" s="83"/>
      <x:c r="H4" s="83"/>
    </x:row>
    <x:row r="5" ht="24" customHeight="1">
      <x:c r="A5" s="30" t="s">
        <x:v>0</x:v>
      </x:c>
      <x:c r="B5" s="30" t="s">
        <x:v>0</x:v>
      </x:c>
      <x:c r="C5" s="30" t="s">
        <x:v>0</x:v>
      </x:c>
      <x:c r="D5" s="30" t="s">
        <x:v>0</x:v>
      </x:c>
      <x:c r="E5" s="30" t="s">
        <x:v>0</x:v>
      </x:c>
      <x:c r="F5" s="30" t="s">
        <x:v>0</x:v>
      </x:c>
      <x:c r="G5" s="30" t="s">
        <x:v>0</x:v>
      </x:c>
      <x:c r="H5" s="30" t="s">
        <x:v>0</x:v>
      </x:c>
    </x:row>
    <x:row r="6">
      <x:c r="A6" s="84" t="s">
        <x:v>1</x:v>
      </x:c>
      <x:c r="B6" s="85"/>
      <x:c r="C6" s="85"/>
      <x:c r="D6" s="85"/>
      <x:c r="E6" s="84" t="s">
        <x:v>2</x:v>
      </x:c>
      <x:c r="F6" s="85"/>
      <x:c r="G6" s="85"/>
      <x:c r="H6" s="85"/>
    </x:row>
    <x:row r="7">
      <x:c r="A7" s="84" t="s">
        <x:v>3</x:v>
      </x:c>
      <x:c r="B7" s="85"/>
      <x:c r="C7" s="85"/>
      <x:c r="D7" s="85"/>
      <x:c r="E7" s="84" t="s">
        <x:v>4</x:v>
      </x:c>
      <x:c r="F7" s="85"/>
      <x:c r="G7" s="85"/>
      <x:c r="H7" s="85"/>
    </x:row>
    <x:row r="8">
      <x:c r="A8" s="84" t="s">
        <x:v>5</x:v>
      </x:c>
      <x:c r="B8" s="85"/>
      <x:c r="C8" s="85"/>
      <x:c r="D8" s="85"/>
      <x:c r="E8" s="84" t="s">
        <x:v>6</x:v>
      </x:c>
      <x:c r="F8" s="85" t="str">
        <x:v>IEC 61508-2: Kapitel 7.3 Validierungsplanung</x:v>
      </x:c>
      <x:c r="G8" s="85"/>
      <x:c r="H8" s="85"/>
    </x:row>
    <x:row r="9">
      <x:c r="A9" s="84" t="s">
        <x:v>7</x:v>
      </x:c>
      <x:c r="B9" s="85"/>
      <x:c r="C9" s="85"/>
      <x:c r="D9" s="85"/>
      <x:c r="E9" s="84" t="s">
        <x:v>8</x:v>
      </x:c>
      <x:c r="F9" s="86"/>
      <x:c r="G9" s="86"/>
      <x:c r="H9" s="86"/>
    </x:row>
    <x:row r="10">
      <x:c r="A10" s="84" t="s">
        <x:v>9</x:v>
      </x:c>
      <x:c r="B10" s="85"/>
      <x:c r="C10" s="85"/>
      <x:c r="D10" s="85"/>
      <x:c r="E10" s="84" t="s">
        <x:v>10</x:v>
      </x:c>
      <x:c r="F10" s="85"/>
      <x:c r="G10" s="85"/>
      <x:c r="H10" s="85"/>
    </x:row>
    <x:row r="11">
      <x:c r="A11" s="83"/>
      <x:c r="B11" s="83"/>
      <x:c r="C11" s="83"/>
      <x:c r="D11" s="83"/>
      <x:c r="E11" s="83"/>
      <x:c r="F11" s="83"/>
      <x:c r="G11" s="83"/>
      <x:c r="H11" s="83"/>
    </x:row>
    <x:row r="12" ht="24" customHeight="1">
      <x:c r="A12" s="30" t="s">
        <x:v>11</x:v>
      </x:c>
      <x:c r="B12" s="30" t="s">
        <x:v>11</x:v>
      </x:c>
      <x:c r="C12" s="30" t="s">
        <x:v>11</x:v>
      </x:c>
      <x:c r="D12" s="30" t="s">
        <x:v>11</x:v>
      </x:c>
      <x:c r="E12" s="30" t="s">
        <x:v>11</x:v>
      </x:c>
      <x:c r="F12" s="30" t="s">
        <x:v>11</x:v>
      </x:c>
      <x:c r="G12" s="30" t="s">
        <x:v>11</x:v>
      </x:c>
      <x:c r="H12" s="30" t="s">
        <x:v>11</x:v>
      </x:c>
    </x:row>
    <x:row r="13">
      <x:c r="A13" s="84" t="s">
        <x:v>12</x:v>
      </x:c>
      <x:c r="B13" s="85"/>
      <x:c r="C13" s="85"/>
      <x:c r="D13" s="85"/>
      <x:c r="E13" s="85"/>
      <x:c r="F13" s="85"/>
      <x:c r="G13" s="85"/>
      <x:c r="H13" s="85"/>
    </x:row>
    <x:row r="14">
      <x:c r="A14" s="84" t="s">
        <x:v>13</x:v>
      </x:c>
      <x:c r="B14" s="85"/>
      <x:c r="C14" s="85"/>
      <x:c r="D14" s="85"/>
      <x:c r="E14" s="85"/>
      <x:c r="F14" s="85"/>
      <x:c r="G14" s="85"/>
      <x:c r="H14" s="85"/>
    </x:row>
    <x:row r="15">
      <x:c r="A15" s="84" t="s">
        <x:v>14</x:v>
      </x:c>
      <x:c r="B15" s="85"/>
      <x:c r="C15" s="85"/>
      <x:c r="D15" s="85"/>
      <x:c r="E15" s="85"/>
      <x:c r="F15" s="85"/>
      <x:c r="G15" s="85"/>
      <x:c r="H15" s="85"/>
    </x:row>
    <x:row r="16">
      <x:c r="A16" s="84" t="s">
        <x:v>15</x:v>
      </x:c>
      <x:c r="B16" s="85"/>
      <x:c r="C16" s="85"/>
      <x:c r="D16" s="85"/>
      <x:c r="E16" s="85"/>
      <x:c r="F16" s="85"/>
      <x:c r="G16" s="85"/>
      <x:c r="H16" s="85"/>
    </x:row>
    <x:row r="17">
      <x:c r="A17" s="83"/>
      <x:c r="B17" s="83"/>
      <x:c r="C17" s="83"/>
      <x:c r="D17" s="83"/>
      <x:c r="E17" s="83"/>
      <x:c r="F17" s="83"/>
      <x:c r="G17" s="83"/>
      <x:c r="H17" s="83"/>
    </x:row>
    <x:row r="18" ht="24" customHeight="1">
      <x:c r="A18" s="30" t="s">
        <x:v>16</x:v>
      </x:c>
      <x:c r="B18" s="30" t="s">
        <x:v>16</x:v>
      </x:c>
      <x:c r="C18" s="30" t="s">
        <x:v>16</x:v>
      </x:c>
      <x:c r="D18" s="30" t="s">
        <x:v>16</x:v>
      </x:c>
      <x:c r="E18" s="30" t="s">
        <x:v>16</x:v>
      </x:c>
      <x:c r="F18" s="30" t="s">
        <x:v>16</x:v>
      </x:c>
      <x:c r="G18" s="30" t="s">
        <x:v>16</x:v>
      </x:c>
      <x:c r="H18" s="30" t="s">
        <x:v>16</x:v>
      </x:c>
    </x:row>
    <x:row r="19">
      <x:c r="A19" s="87" t="s">
        <x:v>17</x:v>
      </x:c>
      <x:c r="B19" s="87"/>
      <x:c r="C19" s="87" t="s">
        <x:v>18</x:v>
      </x:c>
      <x:c r="D19" s="87"/>
      <x:c r="E19" s="87" t="s">
        <x:v>19</x:v>
      </x:c>
      <x:c r="F19" s="87"/>
      <x:c r="G19" s="87" t="s">
        <x:v>20</x:v>
      </x:c>
      <x:c r="H19" s="87" t="s">
        <x:v>21</x:v>
      </x:c>
    </x:row>
    <x:row r="20" ht="18.75">
      <x:c r="A20" s="44" t="n">
        <x:f>COUNTA('Review 7.3'!A8:A16)</x:f>
        <x:v>9</x:v>
      </x:c>
      <x:c r="B20" s="44"/>
      <x:c r="C20" s="44" t="n">
        <x:f>COUNTIF('Review 7.3'!G8:G16,"OK")</x:f>
        <x:v>0</x:v>
      </x:c>
      <x:c r="D20" s="44"/>
      <x:c r="E20" s="44" t="n">
        <x:f>COUNTIF('Review 7.3'!G8:G16,"Nicht OK")</x:f>
        <x:v>0</x:v>
      </x:c>
      <x:c r="F20" s="44"/>
      <x:c r="G20" s="44" t="n">
        <x:f>COUNTIF('Review 7.3'!G8:G16,"Nicht geprüft")</x:f>
        <x:v>9</x:v>
      </x:c>
      <x:c r="H20" s="88" t="n">
        <x:f>IF(A20=0,0,(C20+E20)/A20)</x:f>
        <x:v>0</x:v>
      </x:c>
    </x:row>
    <x:row r="21">
      <x:c r="A21" s="83"/>
      <x:c r="B21" s="83"/>
      <x:c r="C21" s="83"/>
      <x:c r="D21" s="83"/>
      <x:c r="E21" s="83"/>
      <x:c r="F21" s="83"/>
      <x:c r="G21" s="83"/>
      <x:c r="H21" s="83"/>
    </x:row>
    <x:row r="22">
      <x:c r="A22" s="84" t="s">
        <x:v>22</x:v>
      </x:c>
      <x:c r="B22" s="85"/>
      <x:c r="C22" s="85"/>
      <x:c r="D22" s="85"/>
      <x:c r="E22" s="85"/>
      <x:c r="F22" s="85"/>
      <x:c r="G22" s="85"/>
      <x:c r="H22" s="85"/>
    </x:row>
    <x:row r="23" ht="27.950000762939453" customHeight="1">
      <x:c r="A23" s="84" t="s">
        <x:v>23</x:v>
      </x:c>
      <x:c r="B23" s="85"/>
      <x:c r="C23" s="85"/>
      <x:c r="D23" s="85"/>
      <x:c r="E23" s="85"/>
      <x:c r="F23" s="85"/>
      <x:c r="G23" s="85"/>
      <x:c r="H23" s="85"/>
    </x:row>
    <x:row r="24" ht="27.950000762939453" customHeight="1">
      <x:c r="A24" s="83"/>
      <x:c r="B24" s="85"/>
      <x:c r="C24" s="85"/>
      <x:c r="D24" s="85"/>
      <x:c r="E24" s="85"/>
      <x:c r="F24" s="85"/>
      <x:c r="G24" s="85"/>
      <x:c r="H24" s="85"/>
    </x:row>
    <x:row r="25" ht="27.950000762939453" customHeight="1">
      <x:c r="A25" s="83"/>
      <x:c r="B25" s="85"/>
      <x:c r="C25" s="85"/>
      <x:c r="D25" s="85"/>
      <x:c r="E25" s="85"/>
      <x:c r="F25" s="85"/>
      <x:c r="G25" s="85"/>
      <x:c r="H25" s="85"/>
    </x:row>
    <x:row r="26">
      <x:c r="A26" s="83"/>
      <x:c r="B26" s="83"/>
      <x:c r="C26" s="83"/>
      <x:c r="D26" s="83"/>
      <x:c r="E26" s="83"/>
      <x:c r="F26" s="83"/>
      <x:c r="G26" s="83"/>
      <x:c r="H26" s="83"/>
    </x:row>
    <x:row r="27" ht="26.100000381469727" customHeight="1">
      <x:c r="A27" s="84" t="s">
        <x:v>24</x:v>
      </x:c>
      <x:c r="B27" s="85" t="str">
        <x:v>Das Dokument wird auf vollständige, nachvollziehbare und technisch belastbare Planung der Sicherheitsvalidierung nach IEC 61508-2, Kapitel 7.3 geprüft.</x:v>
      </x:c>
      <x:c r="C27" s="85"/>
      <x:c r="D27" s="85"/>
      <x:c r="E27" s="85"/>
      <x:c r="F27" s="85"/>
      <x:c r="G27" s="85"/>
      <x:c r="H27" s="85"/>
    </x:row>
    <x:row r="28" ht="26.100000381469727" customHeight="1">
      <x:c r="A28" s="83"/>
      <x:c r="B28" s="85"/>
      <x:c r="C28" s="85"/>
      <x:c r="D28" s="85"/>
      <x:c r="E28" s="85"/>
      <x:c r="F28" s="85"/>
      <x:c r="G28" s="85"/>
      <x:c r="H28" s="85"/>
    </x:row>
    <x:row r="29" ht="26.100000381469727" customHeight="1">
      <x:c r="A29" s="83"/>
      <x:c r="B29" s="85"/>
      <x:c r="C29" s="85"/>
      <x:c r="D29" s="85"/>
      <x:c r="E29" s="85"/>
      <x:c r="F29" s="85"/>
      <x:c r="G29" s="85"/>
      <x:c r="H29" s="85"/>
    </x:row>
    <x:row r="30" ht="26.100000381469727" customHeight="1">
      <x:c r="A30" s="83"/>
      <x:c r="B30" s="85"/>
      <x:c r="C30" s="85"/>
      <x:c r="D30" s="85"/>
      <x:c r="E30" s="85"/>
      <x:c r="F30" s="85"/>
      <x:c r="G30" s="85"/>
      <x:c r="H30" s="85"/>
    </x:row>
    <x:row r="31">
      <x:c r="A31" s="1"/>
      <x:c r="B31" s="1"/>
      <x:c r="C31" s="1"/>
      <x:c r="D31" s="1"/>
      <x:c r="E31" s="1"/>
      <x:c r="F31" s="1"/>
      <x:c r="G31" s="1"/>
      <x:c r="H31" s="1"/>
    </x:row>
    <x:row r="32">
      <x:c r="A32" s="1"/>
      <x:c r="B32" s="1"/>
      <x:c r="C32" s="1"/>
      <x:c r="D32" s="1"/>
      <x:c r="E32" s="1"/>
      <x:c r="F32" s="1"/>
      <x:c r="G32" s="1"/>
      <x:c r="H32" s="1"/>
    </x:row>
    <x:row r="33">
      <x:c r="A33" s="1"/>
      <x:c r="B33" s="1"/>
      <x:c r="C33" s="1"/>
      <x:c r="D33" s="1"/>
      <x:c r="E33" s="1"/>
      <x:c r="F33" s="1"/>
      <x:c r="G33" s="1"/>
      <x:c r="H33" s="1"/>
    </x:row>
    <x:row r="34">
      <x:c r="A34" s="1"/>
      <x:c r="B34" s="1"/>
      <x:c r="C34" s="1"/>
      <x:c r="D34" s="1"/>
      <x:c r="E34" s="1"/>
      <x:c r="F34" s="1"/>
      <x:c r="G34" s="1"/>
      <x:c r="H34" s="1"/>
    </x:row>
    <x:row r="35">
      <x:c r="A35" s="1"/>
      <x:c r="B35" s="1"/>
      <x:c r="C35" s="1"/>
      <x:c r="D35" s="1"/>
      <x:c r="E35" s="1"/>
      <x:c r="F35" s="1"/>
      <x:c r="G35" s="1"/>
      <x:c r="H35" s="1"/>
    </x:row>
  </x:sheetData>
  <x:mergeCells>
    <x:mergeCell ref="B27:H30"/>
    <x:mergeCell ref="B15:H15"/>
    <x:mergeCell ref="B16:H16"/>
    <x:mergeCell ref="A18:H18"/>
    <x:mergeCell ref="B22:H22"/>
    <x:mergeCell ref="B23:H25"/>
    <x:mergeCell ref="B10:D10"/>
    <x:mergeCell ref="F10:H10"/>
    <x:mergeCell ref="A12:H12"/>
    <x:mergeCell ref="B13:H13"/>
    <x:mergeCell ref="B14:H14"/>
    <x:mergeCell ref="B7:D7"/>
    <x:mergeCell ref="F7:H7"/>
    <x:mergeCell ref="B8:D8"/>
    <x:mergeCell ref="F8:H8"/>
    <x:mergeCell ref="B9:D9"/>
    <x:mergeCell ref="F9:H9"/>
    <x:mergeCell ref="A1:H2"/>
    <x:mergeCell ref="A3:H3"/>
    <x:mergeCell ref="A5:H5"/>
    <x:mergeCell ref="B6:D6"/>
    <x:mergeCell ref="F6:H6"/>
  </x:mergeCells>
  <x:dataValidations count="2">
    <x:dataValidation type="list" sqref="B8:D8">
      <x:formula1>"SIL 1,SIL 2,SIL 3"</x:formula1>
    </x:dataValidation>
    <x:dataValidation type="list" sqref="B22:H22">
      <x:formula1>"Dokument muss überarbeitet werden und kann danach freigegeben werden,Dokument muss überarbeitet werden und danach einem Review unterzogen werden,Dokument kann zum externen Review vorgelegt werden,Dokument kann freigegeben werden"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9" defaultRowHeight="14.25"/>
  <x:cols>
    <x:col min="1" max="1" width="8" customWidth="1"/>
    <x:col min="2" max="2" width="14" customWidth="1"/>
    <x:col min="3" max="3" width="72" customWidth="1"/>
    <x:col min="4" max="5" width="34" customWidth="1"/>
    <x:col min="6" max="6" width="25" customWidth="1"/>
    <x:col min="7" max="7" width="17" customWidth="1"/>
  </x:cols>
  <x:sheetData>
    <x:row r="1" ht="33.95000076293945" customHeight="1">
      <x:c r="A1" s="102" t="str">
        <x:v>Checkliste – IEC 61508-2, Kapitel 7.3</x:v>
      </x:c>
      <x:c r="B1" s="89"/>
      <x:c r="C1" s="89"/>
      <x:c r="D1" s="89"/>
      <x:c r="E1" s="89"/>
      <x:c r="F1" s="89"/>
      <x:c r="G1" s="89"/>
    </x:row>
    <x:row r="2" ht="33.95000076293945" customHeight="1">
      <x:c r="A2" s="102"/>
      <x:c r="B2" s="89"/>
      <x:c r="C2" s="89"/>
      <x:c r="D2" s="89"/>
      <x:c r="E2" s="89"/>
      <x:c r="F2" s="89"/>
      <x:c r="G2" s="89"/>
    </x:row>
    <x:row r="3">
      <x:c r="A3" s="90" t="str">
        <x:v>Prüfergebnis: konkrete Bewertung des Prüfpunkts. Kommentar / Nachweis: Begründung, Referenz auf Nachweise oder offene Punkte.</x:v>
      </x:c>
      <x:c r="B3" s="90"/>
      <x:c r="C3" s="90"/>
      <x:c r="D3" s="90"/>
      <x:c r="E3" s="90"/>
      <x:c r="F3" s="90"/>
      <x:c r="G3" s="90"/>
    </x:row>
    <x:row r="4">
      <x:c r="A4" s="83"/>
      <x:c r="B4" s="83"/>
      <x:c r="C4" s="83"/>
      <x:c r="D4" s="83"/>
      <x:c r="E4" s="83"/>
      <x:c r="F4" s="83"/>
      <x:c r="G4" s="83"/>
    </x:row>
    <x:row r="5" ht="15">
      <x:c r="A5" s="38" t="str">
        <x:v>Kapitel 7.3</x:v>
      </x:c>
      <x:c r="B5" s="38" t="str">
        <x:v>Planung der Validierung der Sicherheit des E/E/PE-Systems</x:v>
      </x:c>
      <x:c r="C5" s="38" t="str">
        <x:v>9 Prüfpunkte</x:v>
      </x:c>
      <x:c r="D5" s="38"/>
      <x:c r="E5" s="38"/>
      <x:c r="F5" s="38" t="str">
        <x:v>Dokumentenbezug</x:v>
      </x:c>
      <x:c r="G5" s="38" t="str">
        <x:v>Status / OK</x:v>
      </x:c>
    </x:row>
    <x:row r="6">
      <x:c r="A6" s="83"/>
      <x:c r="B6" s="83"/>
      <x:c r="C6" s="83"/>
      <x:c r="D6" s="83"/>
      <x:c r="E6" s="83"/>
      <x:c r="F6" s="83"/>
      <x:c r="G6" s="83"/>
    </x:row>
    <x:row r="7" ht="34" customHeight="1">
      <x:c r="A7" s="69" t="str">
        <x:v>Nr.</x:v>
      </x:c>
      <x:c r="B7" s="69" t="str">
        <x:v>Normkapitel</x:v>
      </x:c>
      <x:c r="C7" s="69" t="str">
        <x:v>Prüffrage / Prüfkriterium</x:v>
      </x:c>
      <x:c r="D7" s="69" t="str">
        <x:v>Prüfergebnis</x:v>
      </x:c>
      <x:c r="E7" s="69" t="str">
        <x:v>Kommentar / Nachweis</x:v>
      </x:c>
      <x:c r="F7" s="69" t="str">
        <x:v>E/A-Dokumente (IDs)</x:v>
      </x:c>
      <x:c r="G7" s="69" t="str">
        <x:v>Status / OK</x:v>
      </x:c>
    </x:row>
    <x:row r="8" ht="95" customHeight="1">
      <x:c r="A8" s="91" t="str">
        <x:v>Z1</x:v>
      </x:c>
      <x:c r="B8" s="91" t="str">
        <x:v>7.3.1</x:v>
      </x:c>
      <x:c r="C8" s="92" t="str">
        <x:v>Ist die Validierung der Sicherheit des sicherheitsbezogenen E/E/PE-Systems als eigenständige Lebenszyklustätigkeit geplant und ist das Ziel der Validierungsplanung eindeutig festgelegt?</x:v>
      </x:c>
      <x:c r="D8" s="85"/>
      <x:c r="E8" s="85"/>
      <x:c r="F8" s="93" t="str">
        <x:v>D03, D12</x:v>
      </x:c>
      <x:c r="G8" s="94" t="str">
        <x:v>Nicht geprüft</x:v>
      </x:c>
    </x:row>
    <x:row r="9" ht="145" customHeight="1">
      <x:c r="A9" s="91" t="str">
        <x:v>1</x:v>
      </x:c>
      <x:c r="B9" s="91" t="str">
        <x:v>7.3.2.1</x:v>
      </x:c>
      <x:c r="C9" s="92" t="str">
        <x:v>Sind die verfahrensmäßigen und technischen Schritte festgelegt, mit denen nachgewiesen wird, dass das sicherheitsbezogene E/E/PE-System sowohl die Spezifikation der Anforderungen an die Sicherheit des E/E/PE-Systems nach IEC 61508-1, 7.10 als auch die Spezifikation der Anforderungen an den Entwurf nach IEC 61508-2, 7.2 erfüllt?</x:v>
      </x:c>
      <x:c r="D9" s="85"/>
      <x:c r="E9" s="85"/>
      <x:c r="F9" s="93" t="str">
        <x:v>D01, D02, D03</x:v>
      </x:c>
      <x:c r="G9" s="94" t="str">
        <x:v>Nicht geprüft</x:v>
      </x:c>
    </x:row>
    <x:row r="10" ht="105" customHeight="1">
      <x:c r="A10" s="91" t="str">
        <x:v>2a</x:v>
      </x:c>
      <x:c r="B10" s="91" t="str">
        <x:v>7.3.2.2 a)</x:v>
      </x:c>
      <x:c r="C10" s="92" t="str">
        <x:v>Berücksichtigt die Validierungsplanung sämtliche Anforderungen, die in der Spezifikation der Sicherheitsanforderungen und in der Spezifikation der Entwurfsanforderungen definiert sind, und ist deren vollständige Abdeckung nachvollziehbar zugeordnet?</x:v>
      </x:c>
      <x:c r="D10" s="85"/>
      <x:c r="E10" s="85"/>
      <x:c r="F10" s="93" t="str">
        <x:v>D01, D02, D04</x:v>
      </x:c>
      <x:c r="G10" s="94" t="str">
        <x:v>Nicht geprüft</x:v>
      </x:c>
    </x:row>
    <x:row r="11" ht="105" customHeight="1">
      <x:c r="A11" s="91" t="str">
        <x:v>2b</x:v>
      </x:c>
      <x:c r="B11" s="91" t="str">
        <x:v>7.3.2.2 b)</x:v>
      </x:c>
      <x:c r="C11" s="92" t="str">
        <x:v>Sind für jede Sicherheitsfunktion die anzuwendenden Verfahren zur Validierung der korrekten Implementierung sowie eindeutige Kriterien für bestanden beziehungsweise nicht bestanden bei der Testausführung festgelegt?</x:v>
      </x:c>
      <x:c r="D11" s="85"/>
      <x:c r="E11" s="85"/>
      <x:c r="F11" s="93" t="str">
        <x:v>D05, D06</x:v>
      </x:c>
      <x:c r="G11" s="94" t="str">
        <x:v>Nicht geprüft</x:v>
      </x:c>
    </x:row>
    <x:row r="12" ht="105" customHeight="1">
      <x:c r="A12" s="91" t="str">
        <x:v>2c</x:v>
      </x:c>
      <x:c r="B12" s="91" t="str">
        <x:v>7.3.2.2 c)</x:v>
      </x:c>
      <x:c r="C12" s="92" t="str">
        <x:v>Sind für jede Sicherheitsfunktion die anzuwendenden Verfahren zur Validierung der erforderlichen Sicherheitsintegrität sowie eindeutige Kriterien für bestanden beziehungsweise nicht bestanden bei der Testausführung festgelegt?</x:v>
      </x:c>
      <x:c r="D12" s="85"/>
      <x:c r="E12" s="85"/>
      <x:c r="F12" s="93" t="str">
        <x:v>D07</x:v>
      </x:c>
      <x:c r="G12" s="94" t="str">
        <x:v>Nicht geprüft</x:v>
      </x:c>
    </x:row>
    <x:row r="13" ht="105" customHeight="1">
      <x:c r="A13" s="91" t="str">
        <x:v>2d</x:v>
      </x:c>
      <x:c r="B13" s="91" t="str">
        <x:v>7.3.2.2 d)</x:v>
      </x:c>
      <x:c r="C13" s="92" t="str">
        <x:v>Sind die erforderliche Testumgebung sowie alle notwendigen Werkzeuge und Betriebsmittel festgelegt, und ist geplant, welche Werkzeuge und Betriebsmittel kalibriert sein müssen?</x:v>
      </x:c>
      <x:c r="D13" s="85"/>
      <x:c r="E13" s="85"/>
      <x:c r="F13" s="93" t="str">
        <x:v>D08</x:v>
      </x:c>
      <x:c r="G13" s="94" t="str">
        <x:v>Nicht geprüft</x:v>
      </x:c>
    </x:row>
    <x:row r="14" ht="105" customHeight="1">
      <x:c r="A14" s="91" t="str">
        <x:v>2e</x:v>
      </x:c>
      <x:c r="B14" s="91" t="str">
        <x:v>7.3.2.2 e)</x:v>
      </x:c>
      <x:c r="C14" s="92" t="str">
        <x:v>Sind die Testbewertungsverfahren festgelegt und für ihre Eignung zur Bewertung der Validierungsergebnisse technisch begründet?</x:v>
      </x:c>
      <x:c r="D14" s="85"/>
      <x:c r="E14" s="85"/>
      <x:c r="F14" s="93" t="str">
        <x:v>D09</x:v>
      </x:c>
      <x:c r="G14" s="94" t="str">
        <x:v>Nicht geprüft</x:v>
      </x:c>
    </x:row>
    <x:row r="15" ht="105" customHeight="1">
      <x:c r="A15" s="91" t="str">
        <x:v>2f</x:v>
      </x:c>
      <x:c r="B15" s="91" t="str">
        <x:v>7.3.2.2 f)</x:v>
      </x:c>
      <x:c r="C15" s="92" t="str">
        <x:v>Sind die Testverfahren und Bewertungskriterien festgelegt, mit denen die spezifizierten elektromagnetischen Störfestigkeitsgrenzwerte validiert werden, und ist die einschlägige Anleitung aus IEC/TS 61000-1-2 berücksichtigt?</x:v>
      </x:c>
      <x:c r="D15" s="85"/>
      <x:c r="E15" s="85"/>
      <x:c r="F15" s="93" t="str">
        <x:v>D10</x:v>
      </x:c>
      <x:c r="G15" s="94" t="str">
        <x:v>Nicht geprüft</x:v>
      </x:c>
    </x:row>
    <x:row r="16" ht="105" customHeight="1">
      <x:c r="A16" s="91" t="str">
        <x:v>2g</x:v>
      </x:c>
      <x:c r="B16" s="91" t="str">
        <x:v>7.3.2.2 g)</x:v>
      </x:c>
      <x:c r="C16" s="92" t="str">
        <x:v>Sind verbindliche Grundsätze für die Behandlung von Ausfällen und Abweichungen festgelegt, die während der Validierung auftreten?</x:v>
      </x:c>
      <x:c r="D16" s="85"/>
      <x:c r="E16" s="85"/>
      <x:c r="F16" s="93" t="str">
        <x:v>D11</x:v>
      </x:c>
      <x:c r="G16" s="94" t="str">
        <x:v>Nicht geprüft</x:v>
      </x:c>
    </x:row>
    <x:row r="17" ht="165" customHeight="1">
      <x:c r="A17" s="91"/>
      <x:c r="B17" s="91"/>
      <x:c r="C17" s="92"/>
      <x:c r="D17" s="85"/>
      <x:c r="E17" s="85"/>
      <x:c r="F17" s="93"/>
      <x:c r="G17" s="94"/>
    </x:row>
    <x:row r="18" ht="165" customHeight="1">
      <x:c r="A18" s="91"/>
      <x:c r="B18" s="91"/>
      <x:c r="C18" s="92"/>
      <x:c r="D18" s="85"/>
      <x:c r="E18" s="85"/>
      <x:c r="F18" s="93"/>
      <x:c r="G18" s="94"/>
    </x:row>
    <x:row r="19" ht="156.9499969482422" customHeight="1">
      <x:c r="A19" s="91"/>
      <x:c r="B19" s="91"/>
      <x:c r="C19" s="92"/>
      <x:c r="D19" s="85"/>
      <x:c r="E19" s="85"/>
      <x:c r="F19" s="93"/>
      <x:c r="G19" s="94"/>
    </x:row>
    <x:row r="20" ht="123.94999694824219" customHeight="1">
      <x:c r="A20" s="91"/>
      <x:c r="B20" s="91"/>
      <x:c r="C20" s="92"/>
      <x:c r="D20" s="85"/>
      <x:c r="E20" s="85"/>
      <x:c r="F20" s="93"/>
      <x:c r="G20" s="94"/>
    </x:row>
    <x:row r="21" ht="182.10000610351562" customHeight="1">
      <x:c r="A21" s="91"/>
      <x:c r="B21" s="91"/>
      <x:c r="C21" s="92"/>
      <x:c r="D21" s="85"/>
      <x:c r="E21" s="85"/>
      <x:c r="F21" s="93"/>
      <x:c r="G21" s="94"/>
    </x:row>
    <x:row r="22" ht="72" customHeight="1">
      <x:c r="A22" s="91"/>
      <x:c r="B22" s="91"/>
      <x:c r="C22" s="92"/>
      <x:c r="D22" s="85"/>
      <x:c r="E22" s="85"/>
      <x:c r="F22" s="93"/>
      <x:c r="G22" s="94"/>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sheetData>
  <x:mergeCells>
    <x:mergeCell ref="A1:G2"/>
    <x:mergeCell ref="A3:G3"/>
  </x:mergeCells>
  <x:conditionalFormatting sqref="G8:G13">
    <x:cfRule type="expression" dxfId="15" priority="5">
      <x:formula>G8="OK"</x:formula>
    </x:cfRule>
    <x:cfRule type="expression" dxfId="14" priority="6">
      <x:formula>G8="Nicht OK"</x:formula>
    </x:cfRule>
    <x:cfRule type="expression" dxfId="13" priority="7">
      <x:formula>G8="Nicht geprüft"</x:formula>
    </x:cfRule>
    <x:cfRule type="expression" dxfId="12" priority="8">
      <x:formula>G8="n. a."</x:formula>
    </x:cfRule>
  </x:conditionalFormatting>
  <x:conditionalFormatting sqref="G8:G22">
    <x:cfRule type="expression" dxfId="11" priority="1">
      <x:formula>G8="OK"</x:formula>
    </x:cfRule>
    <x:cfRule type="expression" dxfId="10" priority="2">
      <x:formula>G8="Nicht OK"</x:formula>
    </x:cfRule>
    <x:cfRule type="expression" dxfId="9" priority="3">
      <x:formula>G8="Nicht geprüft"</x:formula>
    </x:cfRule>
    <x:cfRule type="expression" dxfId="8" priority="4">
      <x:formula>G8="n. a."</x:formula>
    </x:cfRule>
  </x:conditionalFormatting>
  <x:dataValidations count="1">
    <x:dataValidation type="list" sqref="G8:G22">
      <x:formula1>"Nicht geprüft,OK,Nicht OK,n. a."</x:formula1>
    </x:dataValidation>
  </x:dataValidations>
  <x:pageMargins left="0.7" right="0.7" top="0.75" bottom="0.75" header="0.3" footer="0.3"/>
  <x:tableParts count="1">
    <x:tablePart xmlns:r="http://schemas.openxmlformats.org/officeDocument/2006/relationships" r:id="Ref45c39d34c8430c"/>
  </x:tableParts>
</x:worksheet>
</file>

<file path=xl/worksheets/sheet3.xml><?xml version="1.0" encoding="utf-8"?>
<x:worksheet xmlns:x="http://schemas.openxmlformats.org/spreadsheetml/2006/main">
  <x:sheetViews>
    <x:sheetView showGridLines="0" workbookViewId="0"/>
  </x:sheetViews>
  <x:sheetFormatPr baseColWidth="10" defaultColWidth="9" defaultRowHeight="14.25"/>
  <x:cols>
    <x:col min="1" max="1" width="9" customWidth="1"/>
    <x:col min="2" max="2" width="18" customWidth="1"/>
    <x:col min="3" max="3" width="42" customWidth="1"/>
    <x:col min="4" max="4" width="52" customWidth="1"/>
    <x:col min="5" max="5" width="18" customWidth="1"/>
    <x:col min="6" max="6" width="46" customWidth="1"/>
    <x:col min="7" max="7" width="28" customWidth="1"/>
    <x:col min="8" max="8" width="14" customWidth="1"/>
    <x:col min="9" max="9" width="19" customWidth="1"/>
    <x:col min="10" max="10" width="22" customWidth="1"/>
    <x:col min="11" max="11" width="34" customWidth="1"/>
  </x:cols>
  <x:sheetData>
    <x:row r="1" ht="33.95000076293945" customHeight="1">
      <x:c r="A1" s="102" t="str">
        <x:v>Eingabe- und Ausgabedokumente – Kapitel 7.3</x:v>
      </x:c>
      <x:c r="B1" s="89"/>
      <x:c r="C1" s="89"/>
      <x:c r="D1" s="89"/>
      <x:c r="E1" s="89"/>
      <x:c r="F1" s="89"/>
      <x:c r="G1" s="89"/>
      <x:c r="H1" s="89"/>
      <x:c r="I1" s="89"/>
      <x:c r="J1" s="89"/>
      <x:c r="K1" s="89"/>
    </x:row>
    <x:row r="2" ht="33.95000076293945" customHeight="1">
      <x:c r="A2" s="102"/>
      <x:c r="B2" s="89"/>
      <x:c r="C2" s="89"/>
      <x:c r="D2" s="89"/>
      <x:c r="E2" s="89"/>
      <x:c r="F2" s="89"/>
      <x:c r="G2" s="89"/>
      <x:c r="H2" s="89"/>
      <x:c r="I2" s="89"/>
      <x:c r="J2" s="89"/>
      <x:c r="K2" s="89"/>
    </x:row>
    <x:row r="3">
      <x:c r="A3" s="90" t="str">
        <x:v>Normnahes Dokumentenregister mit Bezug zu Prüfpunkt und Normkapitel. Gelbe Zellen werden projektspezifisch ausgefüllt.</x:v>
      </x:c>
      <x:c r="B3" s="90"/>
      <x:c r="C3" s="90"/>
      <x:c r="D3" s="90"/>
      <x:c r="E3" s="90"/>
      <x:c r="F3" s="90"/>
      <x:c r="G3" s="90"/>
      <x:c r="H3" s="90"/>
      <x:c r="I3" s="90"/>
      <x:c r="J3" s="90"/>
      <x:c r="K3" s="90"/>
    </x:row>
    <x:row r="4">
      <x:c r="A4" s="83"/>
      <x:c r="B4" s="83"/>
      <x:c r="C4" s="83"/>
      <x:c r="D4" s="83"/>
      <x:c r="E4" s="83"/>
      <x:c r="F4" s="83"/>
      <x:c r="G4" s="83"/>
      <x:c r="H4" s="83"/>
      <x:c r="I4" s="83"/>
      <x:c r="J4" s="83"/>
      <x:c r="K4" s="83"/>
    </x:row>
    <x:row r="5" ht="15">
      <x:c r="A5" s="44" t="str">
        <x:v>Dokumente</x:v>
      </x:c>
      <x:c r="B5" s="44" t="n">
        <x:f>COUNTA(A8:A19)</x:f>
        <x:v>12</x:v>
      </x:c>
      <x:c r="C5" s="44"/>
      <x:c r="D5" s="44" t="str">
        <x:v>Eingaben</x:v>
      </x:c>
      <x:c r="E5" s="44" t="n">
        <x:f>COUNTIF(B8:B19,"Eingabe")</x:f>
        <x:v>2</x:v>
      </x:c>
      <x:c r="F5" s="44" t="str">
        <x:v>Ausgaben</x:v>
      </x:c>
      <x:c r="G5" s="44" t="n">
        <x:f>COUNTIF(B8:B19,"Ausgabe")</x:f>
        <x:v>10</x:v>
      </x:c>
      <x:c r="H5" s="44" t="str">
        <x:v>Geprüft / freigegeben</x:v>
      </x:c>
      <x:c r="I5" s="44" t="n">
        <x:f>COUNTIF(I8:I19,"Geprüft / freigegeben")</x:f>
        <x:v>0</x:v>
      </x:c>
      <x:c r="J5" s="44" t="str">
        <x:v>Nicht vorgelegt</x:v>
      </x:c>
      <x:c r="K5" s="44" t="n">
        <x:f>COUNTIF(I8:I19,"Nicht vorgelegt")</x:f>
        <x:v>12</x:v>
      </x:c>
    </x:row>
    <x:row r="6">
      <x:c r="A6" s="83"/>
      <x:c r="B6" s="83"/>
      <x:c r="C6" s="83"/>
      <x:c r="D6" s="83"/>
      <x:c r="E6" s="83"/>
      <x:c r="F6" s="83"/>
      <x:c r="G6" s="83"/>
      <x:c r="H6" s="83"/>
      <x:c r="I6" s="83"/>
      <x:c r="J6" s="83"/>
      <x:c r="K6" s="83"/>
    </x:row>
    <x:row r="7" ht="36" customHeight="1">
      <x:c r="A7" s="69" t="str">
        <x:v>ID</x:v>
      </x:c>
      <x:c r="B7" s="69" t="str">
        <x:v>Art</x:v>
      </x:c>
      <x:c r="C7" s="69" t="str">
        <x:v>Normbegriff / Dokument</x:v>
      </x:c>
      <x:c r="D7" s="69" t="str">
        <x:v>Funktion / erwarteter Inhalt</x:v>
      </x:c>
      <x:c r="E7" s="69" t="str">
        <x:v>Bezug Prüfpunkt</x:v>
      </x:c>
      <x:c r="F7" s="69" t="str">
        <x:v>Normreferenz</x:v>
      </x:c>
      <x:c r="G7" s="69" t="str">
        <x:v>Dokumentkennung / Referenz</x:v>
      </x:c>
      <x:c r="H7" s="69" t="str">
        <x:v>Version / Index</x:v>
      </x:c>
      <x:c r="I7" s="69" t="str">
        <x:v>Status</x:v>
      </x:c>
      <x:c r="J7" s="69" t="str">
        <x:v>Verantwortlich</x:v>
      </x:c>
      <x:c r="K7" s="69" t="str">
        <x:v>Ablageort / Link</x:v>
      </x:c>
    </x:row>
    <x:row r="8" ht="72" customHeight="1">
      <x:c r="A8" s="91" t="str">
        <x:v>D01</x:v>
      </x:c>
      <x:c r="B8" s="91" t="str">
        <x:v>Eingabe</x:v>
      </x:c>
      <x:c r="C8" s="92" t="str">
        <x:v>Spezifikation der Anforderungen an die Sicherheit des E/E/PE-Systems</x:v>
      </x:c>
      <x:c r="D8" s="92" t="str">
        <x:v>Enthält die zu validierenden Sicherheitsfunktionen und Anforderungen an die Sicherheitsintegrität.</x:v>
      </x:c>
      <x:c r="E8" s="91" t="str">
        <x:v>1, 2a</x:v>
      </x:c>
      <x:c r="F8" s="92" t="str">
        <x:v>IEC 61508-2, 7.3.2.1 und 7.3.2.2 a); IEC 61508-1, 7.10</x:v>
      </x:c>
      <x:c r="G8" s="85"/>
      <x:c r="H8" s="94"/>
      <x:c r="I8" s="94" t="str">
        <x:v>Nicht vorgelegt</x:v>
      </x:c>
      <x:c r="J8" s="85"/>
      <x:c r="K8" s="85"/>
    </x:row>
    <x:row r="9" ht="72" customHeight="1">
      <x:c r="A9" s="91" t="str">
        <x:v>D02</x:v>
      </x:c>
      <x:c r="B9" s="91" t="str">
        <x:v>Eingabe</x:v>
      </x:c>
      <x:c r="C9" s="92" t="str">
        <x:v>Spezifikation der Anforderungen an den Entwurf des E/E/PE-Systems</x:v>
      </x:c>
      <x:c r="D9" s="92" t="str">
        <x:v>Enthält die zu validierenden technischen Entwurfsanforderungen des sicherheitsbezogenen E/E/PE-Systems.</x:v>
      </x:c>
      <x:c r="E9" s="91" t="str">
        <x:v>1, 2a</x:v>
      </x:c>
      <x:c r="F9" s="92" t="str">
        <x:v>IEC 61508-2, 7.3.2.1 und 7.3.2.2 a); IEC 61508-2, 7.2</x:v>
      </x:c>
      <x:c r="G9" s="85"/>
      <x:c r="H9" s="94"/>
      <x:c r="I9" s="94" t="str">
        <x:v>Nicht vorgelegt</x:v>
      </x:c>
      <x:c r="J9" s="85"/>
      <x:c r="K9" s="85"/>
    </x:row>
    <x:row r="10" ht="72" customHeight="1">
      <x:c r="A10" s="91" t="str">
        <x:v>D03</x:v>
      </x:c>
      <x:c r="B10" s="91" t="str">
        <x:v>Ausgabe</x:v>
      </x:c>
      <x:c r="C10" s="92" t="str">
        <x:v>Plan für die Validierung der Sicherheit des E/E/PE-Systems</x:v>
      </x:c>
      <x:c r="D10" s="92" t="str">
        <x:v>Legt Umfang, Tätigkeiten, Reihenfolge, Verantwortlichkeiten und Nachweisführung der Sicherheitsvalidierung fest.</x:v>
      </x:c>
      <x:c r="E10" s="91" t="str">
        <x:v>Z1, 1</x:v>
      </x:c>
      <x:c r="F10" s="92" t="str">
        <x:v>IEC 61508-2, 7.3.1 und 7.3.2.1</x:v>
      </x:c>
      <x:c r="G10" s="85"/>
      <x:c r="H10" s="94"/>
      <x:c r="I10" s="94" t="str">
        <x:v>Nicht vorgelegt</x:v>
      </x:c>
      <x:c r="J10" s="85"/>
      <x:c r="K10" s="85"/>
    </x:row>
    <x:row r="11" ht="72" customHeight="1">
      <x:c r="A11" s="91" t="str">
        <x:v>D04</x:v>
      </x:c>
      <x:c r="B11" s="91" t="str">
        <x:v>Ausgabe</x:v>
      </x:c>
      <x:c r="C11" s="92" t="str">
        <x:v>Anforderungs-Abdeckungsmatrix</x:v>
      </x:c>
      <x:c r="D11" s="92" t="str">
        <x:v>Ordnet jede Sicherheits- und Entwurfsanforderung mindestens einer geeigneten Validierungstätigkeit zu.</x:v>
      </x:c>
      <x:c r="E11" s="91" t="str">
        <x:v>2a</x:v>
      </x:c>
      <x:c r="F11" s="92" t="str">
        <x:v>IEC 61508-2, 7.3.2.2 a)</x:v>
      </x:c>
      <x:c r="G11" s="85"/>
      <x:c r="H11" s="94"/>
      <x:c r="I11" s="94" t="str">
        <x:v>Nicht vorgelegt</x:v>
      </x:c>
      <x:c r="J11" s="85"/>
      <x:c r="K11" s="85"/>
    </x:row>
    <x:row r="12" ht="72" customHeight="1">
      <x:c r="A12" s="91" t="str">
        <x:v>D05</x:v>
      </x:c>
      <x:c r="B12" s="91" t="str">
        <x:v>Ausgabe</x:v>
      </x:c>
      <x:c r="C12" s="92" t="str">
        <x:v>Validierungsverfahren für die korrekte Implementierung</x:v>
      </x:c>
      <x:c r="D12" s="92" t="str">
        <x:v>Legt für jede Sicherheitsfunktion das anzuwendende Verfahren zum Nachweis der korrekten Implementierung fest.</x:v>
      </x:c>
      <x:c r="E12" s="91" t="str">
        <x:v>2b</x:v>
      </x:c>
      <x:c r="F12" s="92" t="str">
        <x:v>IEC 61508-2, 7.3.2.2 b)</x:v>
      </x:c>
      <x:c r="G12" s="85"/>
      <x:c r="H12" s="94"/>
      <x:c r="I12" s="94" t="str">
        <x:v>Nicht vorgelegt</x:v>
      </x:c>
      <x:c r="J12" s="85"/>
      <x:c r="K12" s="85"/>
    </x:row>
    <x:row r="13" ht="72" customHeight="1">
      <x:c r="A13" s="91" t="str">
        <x:v>D06</x:v>
      </x:c>
      <x:c r="B13" s="91" t="str">
        <x:v>Ausgabe</x:v>
      </x:c>
      <x:c r="C13" s="92" t="str">
        <x:v>Bestehens- und Nichtbestehenskriterien für Funktionstests</x:v>
      </x:c>
      <x:c r="D13" s="92" t="str">
        <x:v>Definiert objektive und vor Testbeginn festgelegte Entscheidungskriterien für die funktionale Validierung.</x:v>
      </x:c>
      <x:c r="E13" s="91" t="str">
        <x:v>2b</x:v>
      </x:c>
      <x:c r="F13" s="92" t="str">
        <x:v>IEC 61508-2, 7.3.2.2 b)</x:v>
      </x:c>
      <x:c r="G13" s="85"/>
      <x:c r="H13" s="94"/>
      <x:c r="I13" s="94" t="str">
        <x:v>Nicht vorgelegt</x:v>
      </x:c>
      <x:c r="J13" s="85"/>
      <x:c r="K13" s="85"/>
    </x:row>
    <x:row r="14" ht="72" customHeight="1">
      <x:c r="A14" s="91" t="str">
        <x:v>D07</x:v>
      </x:c>
      <x:c r="B14" s="91" t="str">
        <x:v>Ausgabe</x:v>
      </x:c>
      <x:c r="C14" s="92" t="str">
        <x:v>Validierungsverfahren und Kriterien für die Sicherheitsintegrität</x:v>
      </x:c>
      <x:c r="D14" s="92" t="str">
        <x:v>Legt je Sicherheitsfunktion Verfahren und Entscheidungskriterien zum Nachweis der erforderlichen Sicherheitsintegrität fest.</x:v>
      </x:c>
      <x:c r="E14" s="91" t="str">
        <x:v>2c</x:v>
      </x:c>
      <x:c r="F14" s="92" t="str">
        <x:v>IEC 61508-2, 7.3.2.2 c)</x:v>
      </x:c>
      <x:c r="G14" s="85"/>
      <x:c r="H14" s="94"/>
      <x:c r="I14" s="94" t="str">
        <x:v>Nicht vorgelegt</x:v>
      </x:c>
      <x:c r="J14" s="85"/>
      <x:c r="K14" s="85"/>
    </x:row>
    <x:row r="15" ht="72" customHeight="1">
      <x:c r="A15" s="91" t="str">
        <x:v>D08</x:v>
      </x:c>
      <x:c r="B15" s="91" t="str">
        <x:v>Ausgabe</x:v>
      </x:c>
      <x:c r="C15" s="92" t="str">
        <x:v>Spezifikation der Testumgebung und Prüfmittel</x:v>
      </x:c>
      <x:c r="D15" s="92" t="str">
        <x:v>Beschreibt Testumgebung, Werkzeuge, Betriebsmittel, Konfigurationen sowie die erforderliche Kalibrierung.</x:v>
      </x:c>
      <x:c r="E15" s="91" t="str">
        <x:v>2d</x:v>
      </x:c>
      <x:c r="F15" s="92" t="str">
        <x:v>IEC 61508-2, 7.3.2.2 d)</x:v>
      </x:c>
      <x:c r="G15" s="85"/>
      <x:c r="H15" s="94"/>
      <x:c r="I15" s="94" t="str">
        <x:v>Nicht vorgelegt</x:v>
      </x:c>
      <x:c r="J15" s="85"/>
      <x:c r="K15" s="85"/>
    </x:row>
    <x:row r="16" ht="72" customHeight="1">
      <x:c r="A16" s="91" t="str">
        <x:v>D09</x:v>
      </x:c>
      <x:c r="B16" s="91" t="str">
        <x:v>Ausgabe</x:v>
      </x:c>
      <x:c r="C16" s="92" t="str">
        <x:v>Begründete Testbewertungsverfahren</x:v>
      </x:c>
      <x:c r="D16" s="92" t="str">
        <x:v>Legt fest, wie Testergebnisse bewertet werden, und begründet die Eignung der Bewertungsverfahren.</x:v>
      </x:c>
      <x:c r="E16" s="91" t="str">
        <x:v>2e</x:v>
      </x:c>
      <x:c r="F16" s="92" t="str">
        <x:v>IEC 61508-2, 7.3.2.2 e)</x:v>
      </x:c>
      <x:c r="G16" s="85"/>
      <x:c r="H16" s="94"/>
      <x:c r="I16" s="94" t="str">
        <x:v>Nicht vorgelegt</x:v>
      </x:c>
      <x:c r="J16" s="85"/>
      <x:c r="K16" s="85"/>
    </x:row>
    <x:row r="17" ht="72" customHeight="1">
      <x:c r="A17" s="91" t="str">
        <x:v>D10</x:v>
      </x:c>
      <x:c r="B17" s="91" t="str">
        <x:v>Ausgabe</x:v>
      </x:c>
      <x:c r="C17" s="92" t="str">
        <x:v>Prüfspezifikation zur elektromagnetischen Störfestigkeit</x:v>
      </x:c>
      <x:c r="D17" s="92" t="str">
        <x:v>Legt Testverfahren und Bewertungskriterien für die spezifizierten elektromagnetischen Störfestigkeitsgrenzwerte fest.</x:v>
      </x:c>
      <x:c r="E17" s="91" t="str">
        <x:v>2f</x:v>
      </x:c>
      <x:c r="F17" s="92" t="str">
        <x:v>IEC 61508-2, 7.3.2.2 f); IEC/TS 61000-1-2</x:v>
      </x:c>
      <x:c r="G17" s="85"/>
      <x:c r="H17" s="94"/>
      <x:c r="I17" s="94" t="str">
        <x:v>Nicht vorgelegt</x:v>
      </x:c>
      <x:c r="J17" s="85"/>
      <x:c r="K17" s="85"/>
    </x:row>
    <x:row r="18" ht="72" customHeight="1">
      <x:c r="A18" s="91" t="str">
        <x:v>D11</x:v>
      </x:c>
      <x:c r="B18" s="91" t="str">
        <x:v>Ausgabe</x:v>
      </x:c>
      <x:c r="C18" s="92" t="str">
        <x:v>Grundsätze zur Behandlung von Ausfällen in der Validierung</x:v>
      </x:c>
      <x:c r="D18" s="92" t="str">
        <x:v>Regelt Erfassung, Klassifikation, Ursachenanalyse, Auswirkungsbewertung, Korrektur und Wiederholungsprüfung.</x:v>
      </x:c>
      <x:c r="E18" s="91" t="str">
        <x:v>2g</x:v>
      </x:c>
      <x:c r="F18" s="92" t="str">
        <x:v>IEC 61508-2, 7.3.2.2 g)</x:v>
      </x:c>
      <x:c r="G18" s="85"/>
      <x:c r="H18" s="94"/>
      <x:c r="I18" s="94" t="str">
        <x:v>Nicht vorgelegt</x:v>
      </x:c>
      <x:c r="J18" s="85"/>
      <x:c r="K18" s="85"/>
    </x:row>
    <x:row r="19" ht="72" customHeight="1">
      <x:c r="A19" s="91" t="str">
        <x:v>D12</x:v>
      </x:c>
      <x:c r="B19" s="91" t="str">
        <x:v>Ausgabe</x:v>
      </x:c>
      <x:c r="C19" s="92" t="str">
        <x:v>Termin- und Schnittstellenplan zur Entwicklungsphase</x:v>
      </x:c>
      <x:c r="D19" s="92" t="str">
        <x:v>Koordiniert die Validierungsplanung mit dem parallel ablaufenden Entwurf und der Entwicklung des E/E/PE-Systems.</x:v>
      </x:c>
      <x:c r="E19" s="91" t="str">
        <x:v>Z1</x:v>
      </x:c>
      <x:c r="F19" s="92" t="str">
        <x:v>IEC 61508-2, Anmerkung zu 7.3; IEC 61508-2, 7.4</x:v>
      </x:c>
      <x:c r="G19" s="85"/>
      <x:c r="H19" s="94"/>
      <x:c r="I19" s="94" t="str">
        <x:v>Nicht vorgelegt</x:v>
      </x:c>
      <x:c r="J19" s="85"/>
      <x:c r="K19" s="85"/>
    </x:row>
    <x:row r="20" ht="64" customHeight="1">
      <x:c r="A20" s="91"/>
      <x:c r="B20" s="91"/>
      <x:c r="C20" s="92"/>
      <x:c r="D20" s="92"/>
      <x:c r="E20" s="91"/>
      <x:c r="F20" s="92"/>
      <x:c r="G20" s="85"/>
      <x:c r="H20" s="94"/>
      <x:c r="I20" s="94"/>
      <x:c r="J20" s="85"/>
      <x:c r="K20" s="85"/>
    </x:row>
    <x:row r="21" ht="64" customHeight="1">
      <x:c r="A21" s="91"/>
      <x:c r="B21" s="91"/>
      <x:c r="C21" s="92"/>
      <x:c r="D21" s="92"/>
      <x:c r="E21" s="91"/>
      <x:c r="F21" s="92"/>
      <x:c r="G21" s="85"/>
      <x:c r="H21" s="94"/>
      <x:c r="I21" s="94"/>
      <x:c r="J21" s="85"/>
      <x:c r="K21" s="85"/>
    </x:row>
    <x:row r="22" ht="64" customHeight="1">
      <x:c r="A22" s="91"/>
      <x:c r="B22" s="91"/>
      <x:c r="C22" s="92"/>
      <x:c r="D22" s="92"/>
      <x:c r="E22" s="91"/>
      <x:c r="F22" s="92"/>
      <x:c r="G22" s="85"/>
      <x:c r="H22" s="94"/>
      <x:c r="I22" s="94"/>
      <x:c r="J22" s="85"/>
      <x:c r="K22" s="85"/>
    </x:row>
    <x:row r="23" ht="64" customHeight="1">
      <x:c r="A23" s="91"/>
      <x:c r="B23" s="91"/>
      <x:c r="C23" s="92"/>
      <x:c r="D23" s="92"/>
      <x:c r="E23" s="91"/>
      <x:c r="F23" s="92"/>
      <x:c r="G23" s="85"/>
      <x:c r="H23" s="94"/>
      <x:c r="I23" s="94"/>
      <x:c r="J23" s="85"/>
      <x:c r="K23" s="85"/>
    </x:row>
    <x:row r="24" ht="64" customHeight="1">
      <x:c r="A24" s="91"/>
      <x:c r="B24" s="91"/>
      <x:c r="C24" s="92"/>
      <x:c r="D24" s="92"/>
      <x:c r="E24" s="91"/>
      <x:c r="F24" s="92"/>
      <x:c r="G24" s="85"/>
      <x:c r="H24" s="94"/>
      <x:c r="I24" s="94"/>
      <x:c r="J24" s="85"/>
      <x:c r="K24" s="85"/>
    </x:row>
    <x:row r="25" ht="64" customHeight="1">
      <x:c r="A25" s="91"/>
      <x:c r="B25" s="91"/>
      <x:c r="C25" s="92"/>
      <x:c r="D25" s="92"/>
      <x:c r="E25" s="91"/>
      <x:c r="F25" s="92"/>
      <x:c r="G25" s="85"/>
      <x:c r="H25" s="94"/>
      <x:c r="I25" s="94"/>
      <x:c r="J25" s="85"/>
      <x:c r="K25" s="85"/>
    </x:row>
    <x:row r="26" ht="64" customHeight="1">
      <x:c r="A26" s="91"/>
      <x:c r="B26" s="91"/>
      <x:c r="C26" s="92"/>
      <x:c r="D26" s="92"/>
      <x:c r="E26" s="91"/>
      <x:c r="F26" s="92"/>
      <x:c r="G26" s="85"/>
      <x:c r="H26" s="94"/>
      <x:c r="I26" s="94"/>
      <x:c r="J26" s="85"/>
      <x:c r="K26" s="85"/>
    </x:row>
    <x:row r="27" ht="64" customHeight="1">
      <x:c r="A27" s="91"/>
      <x:c r="B27" s="91"/>
      <x:c r="C27" s="92"/>
      <x:c r="D27" s="92"/>
      <x:c r="E27" s="91"/>
      <x:c r="F27" s="92"/>
      <x:c r="G27" s="85"/>
      <x:c r="H27" s="94"/>
      <x:c r="I27" s="94"/>
      <x:c r="J27" s="85"/>
      <x:c r="K27" s="85"/>
    </x:row>
    <x:row r="28" ht="56.099998474121094" customHeight="1">
      <x:c r="A28" s="91"/>
      <x:c r="B28" s="91"/>
      <x:c r="C28" s="92"/>
      <x:c r="D28" s="92"/>
      <x:c r="E28" s="91"/>
      <x:c r="F28" s="92"/>
      <x:c r="G28" s="85"/>
      <x:c r="H28" s="94"/>
      <x:c r="I28" s="94"/>
      <x:c r="J28" s="85"/>
      <x:c r="K28" s="85"/>
    </x:row>
    <x:row r="29" ht="56.099998474121094" customHeight="1">
      <x:c r="A29" s="91"/>
      <x:c r="B29" s="91"/>
      <x:c r="C29" s="92"/>
      <x:c r="D29" s="92"/>
      <x:c r="E29" s="91"/>
      <x:c r="F29" s="92"/>
      <x:c r="G29" s="85"/>
      <x:c r="H29" s="94"/>
      <x:c r="I29" s="94"/>
      <x:c r="J29" s="85"/>
      <x:c r="K29" s="85"/>
    </x:row>
    <x:row r="30" ht="56.099998474121094" customHeight="1">
      <x:c r="A30" s="91"/>
      <x:c r="B30" s="91"/>
      <x:c r="C30" s="92"/>
      <x:c r="D30" s="92"/>
      <x:c r="E30" s="91"/>
      <x:c r="F30" s="92"/>
      <x:c r="G30" s="85"/>
      <x:c r="H30" s="94"/>
      <x:c r="I30" s="94"/>
      <x:c r="J30" s="85"/>
      <x:c r="K30" s="85"/>
    </x:row>
    <x:row r="31" ht="56.099998474121094" customHeight="1">
      <x:c r="A31" s="91"/>
      <x:c r="B31" s="91"/>
      <x:c r="C31" s="92"/>
      <x:c r="D31" s="92"/>
      <x:c r="E31" s="91"/>
      <x:c r="F31" s="92"/>
      <x:c r="G31" s="85"/>
      <x:c r="H31" s="94"/>
      <x:c r="I31" s="94"/>
      <x:c r="J31" s="85"/>
      <x:c r="K31" s="85"/>
    </x:row>
    <x:row r="32" ht="56.099998474121094" customHeight="1">
      <x:c r="A32" s="91"/>
      <x:c r="B32" s="91"/>
      <x:c r="C32" s="92"/>
      <x:c r="D32" s="92"/>
      <x:c r="E32" s="91"/>
      <x:c r="F32" s="92"/>
      <x:c r="G32" s="85"/>
      <x:c r="H32" s="94"/>
      <x:c r="I32" s="94"/>
      <x:c r="J32" s="85"/>
      <x:c r="K32" s="85"/>
    </x:row>
    <x:row r="33" ht="56.099998474121094" customHeight="1">
      <x:c r="A33" s="91"/>
      <x:c r="B33" s="91"/>
      <x:c r="C33" s="92"/>
      <x:c r="D33" s="92"/>
      <x:c r="E33" s="91"/>
      <x:c r="F33" s="92"/>
      <x:c r="G33" s="85"/>
      <x:c r="H33" s="94"/>
      <x:c r="I33" s="94"/>
      <x:c r="J33" s="85"/>
      <x:c r="K33" s="85"/>
    </x:row>
    <x:row r="34" ht="56.099998474121094" customHeight="1">
      <x:c r="A34" s="91"/>
      <x:c r="B34" s="91"/>
      <x:c r="C34" s="92"/>
      <x:c r="D34" s="92"/>
      <x:c r="E34" s="91"/>
      <x:c r="F34" s="92"/>
      <x:c r="G34" s="85"/>
      <x:c r="H34" s="94"/>
      <x:c r="I34" s="94"/>
      <x:c r="J34" s="85"/>
      <x:c r="K34" s="85"/>
    </x:row>
    <x:row r="35" ht="56.099998474121094" customHeight="1">
      <x:c r="A35" s="91"/>
      <x:c r="B35" s="91"/>
      <x:c r="C35" s="92"/>
      <x:c r="D35" s="92"/>
      <x:c r="E35" s="91"/>
      <x:c r="F35" s="92"/>
      <x:c r="G35" s="85"/>
      <x:c r="H35" s="94"/>
      <x:c r="I35" s="94"/>
      <x:c r="J35" s="85"/>
      <x:c r="K35" s="85"/>
    </x:row>
    <x:row r="36" ht="56.099998474121094" customHeight="1">
      <x:c r="A36" s="91"/>
      <x:c r="B36" s="91"/>
      <x:c r="C36" s="92"/>
      <x:c r="D36" s="92"/>
      <x:c r="E36" s="91"/>
      <x:c r="F36" s="92"/>
      <x:c r="G36" s="85"/>
      <x:c r="H36" s="94"/>
      <x:c r="I36" s="94"/>
      <x:c r="J36" s="85"/>
      <x:c r="K36" s="85"/>
    </x:row>
    <x:row r="37" ht="56.099998474121094" customHeight="1">
      <x:c r="A37" s="91"/>
      <x:c r="B37" s="91"/>
      <x:c r="C37" s="92"/>
      <x:c r="D37" s="92"/>
      <x:c r="E37" s="91"/>
      <x:c r="F37" s="92"/>
      <x:c r="G37" s="85"/>
      <x:c r="H37" s="94"/>
      <x:c r="I37" s="94"/>
      <x:c r="J37" s="85"/>
      <x:c r="K37" s="85"/>
    </x:row>
    <x:row r="38" ht="56.099998474121094" customHeight="1">
      <x:c r="A38" s="91"/>
      <x:c r="B38" s="91"/>
      <x:c r="C38" s="92"/>
      <x:c r="D38" s="92"/>
      <x:c r="E38" s="91"/>
      <x:c r="F38" s="92"/>
      <x:c r="G38" s="85"/>
      <x:c r="H38" s="94"/>
      <x:c r="I38" s="94"/>
      <x:c r="J38" s="85"/>
      <x:c r="K38" s="85"/>
    </x:row>
    <x:row r="39" ht="56.099998474121094" customHeight="1">
      <x:c r="A39" s="91"/>
      <x:c r="B39" s="91"/>
      <x:c r="C39" s="92"/>
      <x:c r="D39" s="92"/>
      <x:c r="E39" s="91"/>
      <x:c r="F39" s="92"/>
      <x:c r="G39" s="85"/>
      <x:c r="H39" s="94"/>
      <x:c r="I39" s="94"/>
      <x:c r="J39" s="85"/>
      <x:c r="K39" s="85"/>
    </x:row>
    <x:row r="40" ht="56.099998474121094" customHeight="1">
      <x:c r="A40" s="91"/>
      <x:c r="B40" s="91"/>
      <x:c r="C40" s="92"/>
      <x:c r="D40" s="92"/>
      <x:c r="E40" s="91"/>
      <x:c r="F40" s="92"/>
      <x:c r="G40" s="85"/>
      <x:c r="H40" s="94"/>
      <x:c r="I40" s="94"/>
      <x:c r="J40" s="85"/>
      <x:c r="K40" s="85"/>
    </x:row>
    <x:row r="41" ht="56.099998474121094" customHeight="1">
      <x:c r="A41" s="91"/>
      <x:c r="B41" s="91"/>
      <x:c r="C41" s="92"/>
      <x:c r="D41" s="92"/>
      <x:c r="E41" s="91"/>
      <x:c r="F41" s="92"/>
      <x:c r="G41" s="85"/>
      <x:c r="H41" s="94"/>
      <x:c r="I41" s="94"/>
      <x:c r="J41" s="85"/>
      <x:c r="K41" s="85"/>
    </x:row>
    <x:row r="42" ht="56.099998474121094" customHeight="1">
      <x:c r="A42" s="91"/>
      <x:c r="B42" s="91"/>
      <x:c r="C42" s="92"/>
      <x:c r="D42" s="92"/>
      <x:c r="E42" s="91"/>
      <x:c r="F42" s="92"/>
      <x:c r="G42" s="85"/>
      <x:c r="H42" s="94"/>
      <x:c r="I42" s="94"/>
      <x:c r="J42" s="85"/>
      <x:c r="K42" s="85"/>
    </x:row>
    <x:row r="43" ht="56.099998474121094" customHeight="1">
      <x:c r="A43" s="91"/>
      <x:c r="B43" s="91"/>
      <x:c r="C43" s="92"/>
      <x:c r="D43" s="92"/>
      <x:c r="E43" s="91"/>
      <x:c r="F43" s="92"/>
      <x:c r="G43" s="85"/>
      <x:c r="H43" s="94"/>
      <x:c r="I43" s="94"/>
      <x:c r="J43" s="85"/>
      <x:c r="K43" s="85"/>
    </x:row>
    <x:row r="44" ht="56.099998474121094" customHeight="1">
      <x:c r="A44" s="91"/>
      <x:c r="B44" s="91"/>
      <x:c r="C44" s="92"/>
      <x:c r="D44" s="92"/>
      <x:c r="E44" s="91"/>
      <x:c r="F44" s="92"/>
      <x:c r="G44" s="85"/>
      <x:c r="H44" s="94"/>
      <x:c r="I44" s="94"/>
      <x:c r="J44" s="85"/>
      <x:c r="K44" s="85"/>
    </x:row>
    <x:row r="45">
      <x:c r="A45" s="95"/>
      <x:c r="B45" s="95"/>
      <x:c r="C45" s="95"/>
      <x:c r="D45" s="95"/>
      <x:c r="E45" s="95"/>
      <x:c r="F45" s="95"/>
      <x:c r="G45" s="95"/>
      <x:c r="H45" s="95"/>
      <x:c r="I45" s="95"/>
      <x:c r="J45" s="95"/>
      <x:c r="K45" s="95"/>
    </x:row>
  </x:sheetData>
  <x:mergeCells>
    <x:mergeCell ref="A1:K2"/>
    <x:mergeCell ref="A3:K3"/>
  </x:mergeCells>
  <x:conditionalFormatting sqref="B8:B44">
    <x:cfRule type="expression" dxfId="7" priority="1">
      <x:formula>B8="Eingabe"</x:formula>
    </x:cfRule>
    <x:cfRule type="expression" dxfId="6" priority="2">
      <x:formula>B8="Ausgabe"</x:formula>
    </x:cfRule>
    <x:cfRule type="expression" dxfId="5" priority="3">
      <x:formula>B8="Eingabe / Ausgabe"</x:formula>
    </x:cfRule>
  </x:conditionalFormatting>
  <x:conditionalFormatting sqref="I8:I44">
    <x:cfRule type="expression" dxfId="4" priority="4">
      <x:formula>I8="Geprüft"</x:formula>
    </x:cfRule>
    <x:cfRule type="expression" dxfId="3" priority="5">
      <x:formula>I8="Freigegeben"</x:formula>
    </x:cfRule>
    <x:cfRule type="expression" dxfId="2" priority="6">
      <x:formula>I8="Nicht vorgelegt"</x:formula>
    </x:cfRule>
  </x:conditionalFormatting>
  <x:dataValidations count="1">
    <x:dataValidation type="list" sqref="I8:I44">
      <x:formula1>"Nicht vorgelegt,Vorgelegt,In Prüfung,Geprüft,Freigegeben,Nicht anwendbar"</x:formula1>
    </x:dataValidation>
  </x:dataValidations>
  <x:pageMargins left="0.7" right="0.7" top="0.75" bottom="0.75" header="0.3" footer="0.3"/>
  <x:tableParts count="1">
    <x:tablePart xmlns:r="http://schemas.openxmlformats.org/officeDocument/2006/relationships" r:id="Re3e9ef4d121b4bd4"/>
  </x:tableParts>
</x:worksheet>
</file>

<file path=xl/worksheets/sheet4.xml><?xml version="1.0" encoding="utf-8"?>
<x:worksheet xmlns:x="http://schemas.openxmlformats.org/spreadsheetml/2006/main">
  <x:sheetViews>
    <x:sheetView showGridLines="0" workbookViewId="0"/>
  </x:sheetViews>
  <x:sheetFormatPr baseColWidth="10" defaultColWidth="9" defaultRowHeight="14.25"/>
  <x:cols>
    <x:col min="1" max="1" width="10" customWidth="1"/>
    <x:col min="2" max="2" width="8" customWidth="1"/>
    <x:col min="3" max="3" width="58" customWidth="1"/>
    <x:col min="4" max="4" width="18" customWidth="1"/>
    <x:col min="5" max="5" width="22" customWidth="1"/>
    <x:col min="6" max="6" width="14" customWidth="1"/>
    <x:col min="7" max="7" width="20" customWidth="1"/>
  </x:cols>
  <x:sheetData>
    <x:row r="1" ht="33.95000076293945" customHeight="1">
      <x:c r="A1" s="102" t="s">
        <x:v>25</x:v>
      </x:c>
      <x:c r="B1" s="89" t="s">
        <x:v>25</x:v>
      </x:c>
      <x:c r="C1" s="89" t="s">
        <x:v>25</x:v>
      </x:c>
      <x:c r="D1" s="89" t="s">
        <x:v>25</x:v>
      </x:c>
      <x:c r="E1" s="89" t="s">
        <x:v>25</x:v>
      </x:c>
      <x:c r="F1" s="89" t="s">
        <x:v>25</x:v>
      </x:c>
      <x:c r="G1" s="89" t="s">
        <x:v>25</x:v>
      </x:c>
    </x:row>
    <x:row r="2" ht="33.95000076293945" customHeight="1">
      <x:c r="A2" s="102" t="s">
        <x:v>25</x:v>
      </x:c>
      <x:c r="B2" s="89" t="s">
        <x:v>25</x:v>
      </x:c>
      <x:c r="C2" s="89" t="s">
        <x:v>25</x:v>
      </x:c>
      <x:c r="D2" s="89" t="s">
        <x:v>25</x:v>
      </x:c>
      <x:c r="E2" s="89" t="s">
        <x:v>25</x:v>
      </x:c>
      <x:c r="F2" s="89" t="s">
        <x:v>25</x:v>
      </x:c>
      <x:c r="G2" s="89" t="s">
        <x:v>25</x:v>
      </x:c>
    </x:row>
    <x:row r="3">
      <x:c r="A3" s="96" t="s">
        <x:v>26</x:v>
      </x:c>
      <x:c r="B3" s="96"/>
      <x:c r="C3" s="96"/>
      <x:c r="D3" s="96"/>
      <x:c r="E3" s="96"/>
      <x:c r="F3" s="96"/>
      <x:c r="G3" s="96"/>
    </x:row>
    <x:row r="4">
      <x:c r="A4" s="83"/>
      <x:c r="B4" s="83"/>
      <x:c r="C4" s="83"/>
      <x:c r="D4" s="83"/>
      <x:c r="E4" s="83"/>
      <x:c r="F4" s="83"/>
      <x:c r="G4" s="83"/>
    </x:row>
    <x:row r="5">
      <x:c r="A5" s="69" t="s">
        <x:v>27</x:v>
      </x:c>
      <x:c r="B5" s="69" t="s">
        <x:v>28</x:v>
      </x:c>
      <x:c r="C5" s="69" t="s">
        <x:v>29</x:v>
      </x:c>
      <x:c r="D5" s="69" t="s">
        <x:v>30</x:v>
      </x:c>
      <x:c r="E5" s="69" t="s">
        <x:v>31</x:v>
      </x:c>
      <x:c r="F5" s="69" t="s">
        <x:v>32</x:v>
      </x:c>
      <x:c r="G5" s="69" t="s">
        <x:v>33</x:v>
      </x:c>
    </x:row>
    <x:row r="6" ht="33.95000076293945" customHeight="1">
      <x:c r="A6" s="69" t="s">
        <x:v>34</x:v>
      </x:c>
      <x:c r="B6" s="85"/>
      <x:c r="C6" s="85"/>
      <x:c r="D6" s="85"/>
      <x:c r="E6" s="85"/>
      <x:c r="F6" s="86"/>
      <x:c r="G6" s="85" t="s">
        <x:v>35</x:v>
      </x:c>
    </x:row>
    <x:row r="7" ht="33.95000076293945" customHeight="1">
      <x:c r="A7" s="69" t="s">
        <x:v>36</x:v>
      </x:c>
      <x:c r="B7" s="85"/>
      <x:c r="C7" s="85"/>
      <x:c r="D7" s="85"/>
      <x:c r="E7" s="85"/>
      <x:c r="F7" s="86"/>
      <x:c r="G7" s="85" t="s">
        <x:v>35</x:v>
      </x:c>
    </x:row>
    <x:row r="8" ht="33.95000076293945" customHeight="1">
      <x:c r="A8" s="69" t="s">
        <x:v>37</x:v>
      </x:c>
      <x:c r="B8" s="85"/>
      <x:c r="C8" s="85"/>
      <x:c r="D8" s="85"/>
      <x:c r="E8" s="85"/>
      <x:c r="F8" s="86"/>
      <x:c r="G8" s="85" t="s">
        <x:v>35</x:v>
      </x:c>
    </x:row>
    <x:row r="9" ht="33.95000076293945" customHeight="1">
      <x:c r="A9" s="69" t="s">
        <x:v>38</x:v>
      </x:c>
      <x:c r="B9" s="85"/>
      <x:c r="C9" s="85"/>
      <x:c r="D9" s="85"/>
      <x:c r="E9" s="85"/>
      <x:c r="F9" s="86"/>
      <x:c r="G9" s="85" t="s">
        <x:v>35</x:v>
      </x:c>
    </x:row>
    <x:row r="10" ht="33.95000076293945" customHeight="1">
      <x:c r="A10" s="69" t="s">
        <x:v>39</x:v>
      </x:c>
      <x:c r="B10" s="85"/>
      <x:c r="C10" s="85"/>
      <x:c r="D10" s="85"/>
      <x:c r="E10" s="85"/>
      <x:c r="F10" s="86"/>
      <x:c r="G10" s="85" t="s">
        <x:v>35</x:v>
      </x:c>
    </x:row>
    <x:row r="11" ht="33.95000076293945" customHeight="1">
      <x:c r="A11" s="69" t="s">
        <x:v>40</x:v>
      </x:c>
      <x:c r="B11" s="85"/>
      <x:c r="C11" s="85"/>
      <x:c r="D11" s="85"/>
      <x:c r="E11" s="85"/>
      <x:c r="F11" s="86"/>
      <x:c r="G11" s="85" t="s">
        <x:v>35</x:v>
      </x:c>
    </x:row>
    <x:row r="12" ht="33.95000076293945" customHeight="1">
      <x:c r="A12" s="69" t="s">
        <x:v>41</x:v>
      </x:c>
      <x:c r="B12" s="85"/>
      <x:c r="C12" s="85"/>
      <x:c r="D12" s="85"/>
      <x:c r="E12" s="85"/>
      <x:c r="F12" s="86"/>
      <x:c r="G12" s="85" t="s">
        <x:v>35</x:v>
      </x:c>
    </x:row>
    <x:row r="13" ht="33.95000076293945" customHeight="1">
      <x:c r="A13" s="69" t="s">
        <x:v>42</x:v>
      </x:c>
      <x:c r="B13" s="85"/>
      <x:c r="C13" s="85"/>
      <x:c r="D13" s="85"/>
      <x:c r="E13" s="85"/>
      <x:c r="F13" s="86"/>
      <x:c r="G13" s="85" t="s">
        <x:v>35</x:v>
      </x:c>
    </x:row>
    <x:row r="14" ht="33.95000076293945" customHeight="1">
      <x:c r="A14" s="69" t="s">
        <x:v>43</x:v>
      </x:c>
      <x:c r="B14" s="85"/>
      <x:c r="C14" s="85"/>
      <x:c r="D14" s="85"/>
      <x:c r="E14" s="85"/>
      <x:c r="F14" s="86"/>
      <x:c r="G14" s="85" t="s">
        <x:v>35</x:v>
      </x:c>
    </x:row>
    <x:row r="15" ht="33.95000076293945" customHeight="1">
      <x:c r="A15" s="69" t="s">
        <x:v>44</x:v>
      </x:c>
      <x:c r="B15" s="85"/>
      <x:c r="C15" s="85"/>
      <x:c r="D15" s="85"/>
      <x:c r="E15" s="85"/>
      <x:c r="F15" s="86"/>
      <x:c r="G15" s="85" t="s">
        <x:v>35</x:v>
      </x:c>
    </x:row>
    <x:row r="16" ht="33.95000076293945" customHeight="1">
      <x:c r="A16" s="69" t="s">
        <x:v>45</x:v>
      </x:c>
      <x:c r="B16" s="85"/>
      <x:c r="C16" s="85"/>
      <x:c r="D16" s="85"/>
      <x:c r="E16" s="85"/>
      <x:c r="F16" s="86"/>
      <x:c r="G16" s="85" t="s">
        <x:v>35</x:v>
      </x:c>
    </x:row>
    <x:row r="17" ht="33.95000076293945" customHeight="1">
      <x:c r="A17" s="69" t="s">
        <x:v>46</x:v>
      </x:c>
      <x:c r="B17" s="85"/>
      <x:c r="C17" s="85"/>
      <x:c r="D17" s="85"/>
      <x:c r="E17" s="85"/>
      <x:c r="F17" s="86"/>
      <x:c r="G17" s="85" t="s">
        <x:v>35</x:v>
      </x:c>
    </x:row>
    <x:row r="18" ht="33.95000076293945" customHeight="1">
      <x:c r="A18" s="69" t="s">
        <x:v>47</x:v>
      </x:c>
      <x:c r="B18" s="85"/>
      <x:c r="C18" s="85"/>
      <x:c r="D18" s="85"/>
      <x:c r="E18" s="85"/>
      <x:c r="F18" s="86"/>
      <x:c r="G18" s="85" t="s">
        <x:v>35</x:v>
      </x:c>
    </x:row>
    <x:row r="19" ht="33.95000076293945" customHeight="1">
      <x:c r="A19" s="69" t="s">
        <x:v>48</x:v>
      </x:c>
      <x:c r="B19" s="85"/>
      <x:c r="C19" s="85"/>
      <x:c r="D19" s="85"/>
      <x:c r="E19" s="85"/>
      <x:c r="F19" s="86"/>
      <x:c r="G19" s="85" t="s">
        <x:v>35</x:v>
      </x:c>
    </x:row>
    <x:row r="20" ht="33.95000076293945" customHeight="1">
      <x:c r="A20" s="69" t="s">
        <x:v>49</x:v>
      </x:c>
      <x:c r="B20" s="85"/>
      <x:c r="C20" s="85"/>
      <x:c r="D20" s="85"/>
      <x:c r="E20" s="85"/>
      <x:c r="F20" s="86"/>
      <x:c r="G20" s="85" t="s">
        <x:v>35</x:v>
      </x:c>
    </x:row>
    <x:row r="21" ht="33.95000076293945" customHeight="1">
      <x:c r="A21" s="69" t="s">
        <x:v>50</x:v>
      </x:c>
      <x:c r="B21" s="85"/>
      <x:c r="C21" s="85"/>
      <x:c r="D21" s="85"/>
      <x:c r="E21" s="85"/>
      <x:c r="F21" s="86"/>
      <x:c r="G21" s="85" t="s">
        <x:v>35</x:v>
      </x:c>
    </x:row>
    <x:row r="22" ht="33.95000076293945" customHeight="1">
      <x:c r="A22" s="69" t="s">
        <x:v>51</x:v>
      </x:c>
      <x:c r="B22" s="85"/>
      <x:c r="C22" s="85"/>
      <x:c r="D22" s="85"/>
      <x:c r="E22" s="85"/>
      <x:c r="F22" s="86"/>
      <x:c r="G22" s="85" t="s">
        <x:v>35</x:v>
      </x:c>
    </x:row>
    <x:row r="23" ht="33.95000076293945" customHeight="1">
      <x:c r="A23" s="69" t="s">
        <x:v>52</x:v>
      </x:c>
      <x:c r="B23" s="85"/>
      <x:c r="C23" s="85"/>
      <x:c r="D23" s="85"/>
      <x:c r="E23" s="85"/>
      <x:c r="F23" s="86"/>
      <x:c r="G23" s="85" t="s">
        <x:v>35</x:v>
      </x:c>
    </x:row>
    <x:row r="24" ht="33.95000076293945" customHeight="1">
      <x:c r="A24" s="69" t="s">
        <x:v>53</x:v>
      </x:c>
      <x:c r="B24" s="85"/>
      <x:c r="C24" s="85"/>
      <x:c r="D24" s="85"/>
      <x:c r="E24" s="85"/>
      <x:c r="F24" s="86"/>
      <x:c r="G24" s="85" t="s">
        <x:v>35</x:v>
      </x:c>
    </x:row>
    <x:row r="25" ht="33.95000076293945" customHeight="1">
      <x:c r="A25" s="69" t="s">
        <x:v>54</x:v>
      </x:c>
      <x:c r="B25" s="85"/>
      <x:c r="C25" s="85"/>
      <x:c r="D25" s="85"/>
      <x:c r="E25" s="85"/>
      <x:c r="F25" s="86"/>
      <x:c r="G25" s="85" t="s">
        <x:v>35</x:v>
      </x:c>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sheetData>
  <x:mergeCells>
    <x:mergeCell ref="A1:G2"/>
    <x:mergeCell ref="A3:G3"/>
  </x:mergeCells>
  <x:conditionalFormatting sqref="G6:G25">
    <x:cfRule type="expression" dxfId="1" priority="1">
      <x:formula>G6="Erledigt"</x:formula>
    </x:cfRule>
    <x:cfRule type="expression" dxfId="0" priority="2">
      <x:formula>G6="Offen"</x:formula>
    </x:cfRule>
  </x:conditionalFormatting>
  <x:dataValidations count="2">
    <x:dataValidation type="list" sqref="B6:B25">
      <x:formula1>"A,I,B"</x:formula1>
    </x:dataValidation>
    <x:dataValidation type="list" sqref="G6:G25">
      <x:formula1>"Offen,In Bearbeitung,Erledigt,Zurückgestellt"</x:formula1>
    </x:dataValidation>
  </x:dataValidations>
  <x:pageMargins left="0.7" right="0.7" top="0.75" bottom="0.75" header="0.3" footer="0.3"/>
  <x:tableParts count="1">
    <x:tablePart xmlns:r="http://schemas.openxmlformats.org/officeDocument/2006/relationships" r:id="R009f07b9908e4c48"/>
  </x:tableParts>
</x:worksheet>
</file>

<file path=xl/worksheets/sheet5.xml><?xml version="1.0" encoding="utf-8"?>
<x:worksheet xmlns:x="http://schemas.openxmlformats.org/spreadsheetml/2006/main">
  <x:sheetViews>
    <x:sheetView showGridLines="0" workbookViewId="0"/>
  </x:sheetViews>
  <x:sheetFormatPr baseColWidth="10" defaultColWidth="9" defaultRowHeight="14.25"/>
  <x:cols>
    <x:col min="1" max="1" width="14" customWidth="1"/>
    <x:col min="2" max="2" width="42" customWidth="1"/>
    <x:col min="3" max="3" width="48" customWidth="1"/>
    <x:col min="4" max="4" width="38" customWidth="1"/>
  </x:cols>
  <x:sheetData>
    <x:row r="1" ht="33.95000076293945" customHeight="1">
      <x:c r="A1" s="102" t="s">
        <x:v>55</x:v>
      </x:c>
      <x:c r="B1" s="89" t="s">
        <x:v>55</x:v>
      </x:c>
      <x:c r="C1" s="89" t="s">
        <x:v>55</x:v>
      </x:c>
      <x:c r="D1" s="89" t="s">
        <x:v>55</x:v>
      </x:c>
    </x:row>
    <x:row r="2" ht="33.95000076293945" customHeight="1">
      <x:c r="A2" s="102" t="s">
        <x:v>55</x:v>
      </x:c>
      <x:c r="B2" s="89" t="s">
        <x:v>55</x:v>
      </x:c>
      <x:c r="C2" s="89" t="s">
        <x:v>55</x:v>
      </x:c>
      <x:c r="D2" s="89" t="s">
        <x:v>55</x:v>
      </x:c>
    </x:row>
    <x:row r="3">
      <x:c r="A3" s="83"/>
      <x:c r="B3" s="83"/>
      <x:c r="C3" s="83"/>
      <x:c r="D3" s="83"/>
    </x:row>
    <x:row r="4" ht="24" customHeight="1">
      <x:c r="A4" s="49" t="str">
        <x:v>Prüfpunktarten in IEC 61508-2, Kapitel 7.3</x:v>
      </x:c>
      <x:c r="B4" s="49" t="s">
        <x:v>56</x:v>
      </x:c>
      <x:c r="C4" s="49" t="s">
        <x:v>56</x:v>
      </x:c>
      <x:c r="D4" s="49" t="s">
        <x:v>56</x:v>
      </x:c>
    </x:row>
    <x:row r="5">
      <x:c r="A5" s="95" t="str">
        <x:v>Kennzeichen</x:v>
      </x:c>
      <x:c r="B5" s="95" t="str">
        <x:v>Bedeutung</x:v>
      </x:c>
      <x:c r="C5" s="95" t="str">
        <x:v>Anwendung im Review</x:v>
      </x:c>
      <x:c r="D5" s="95" t="str">
        <x:v>Geltungsbereich</x:v>
      </x:c>
    </x:row>
    <x:row r="6" ht="48" customHeight="1">
      <x:c r="A6" s="97" t="str">
        <x:v>A</x:v>
      </x:c>
      <x:c r="B6" s="95" t="str">
        <x:v>Verbindliche Anforderung</x:v>
      </x:c>
      <x:c r="C6" s="95" t="str">
        <x:v>Erfüllung anhand eines konkreten, freigegebenen Nachweises bewerten.</x:v>
      </x:c>
      <x:c r="D6" s="95" t="str">
        <x:v>IEC 61508-2, 7.3.2</x:v>
      </x:c>
    </x:row>
    <x:row r="7" ht="48" customHeight="1">
      <x:c r="A7" s="97" t="str">
        <x:v>Z</x:v>
      </x:c>
      <x:c r="B7" s="95" t="str">
        <x:v>Ziel des Unterabschnitts</x:v>
      </x:c>
      <x:c r="C7" s="95" t="str">
        <x:v>Prüfen, ob die Validierungsplanung die geforderte Wirkung vollständig erreicht.</x:v>
      </x:c>
      <x:c r="D7" s="95" t="str">
        <x:v>IEC 61508-2, 7.3.1</x:v>
      </x:c>
    </x:row>
    <x:row r="8" ht="48" customHeight="1">
      <x:c r="A8" s="97" t="str">
        <x:v>I</x:v>
      </x:c>
      <x:c r="B8" s="95" t="str">
        <x:v>Informative Anmerkung</x:v>
      </x:c>
      <x:c r="C8" s="95" t="str">
        <x:v>Zur Ablaufkoordination verwenden; nicht als eigenständige Muss-Anforderung bewerten.</x:v>
      </x:c>
      <x:c r="D8" s="95" t="str">
        <x:v>Anmerkung zu IEC 61508-2, 7.3</x:v>
      </x:c>
    </x:row>
    <x:row r="9" ht="48" customHeight="1">
      <x:c r="A9" s="97"/>
      <x:c r="B9" s="95"/>
      <x:c r="C9" s="95"/>
      <x:c r="D9" s="95"/>
    </x:row>
    <x:row r="10">
      <x:c r="A10" s="95"/>
      <x:c r="B10" s="95"/>
      <x:c r="C10" s="95"/>
      <x:c r="D10" s="95"/>
    </x:row>
    <x:row r="11" ht="24" customHeight="1">
      <x:c r="A11" s="49" t="s">
        <x:v>57</x:v>
      </x:c>
      <x:c r="B11" s="49" t="s">
        <x:v>57</x:v>
      </x:c>
      <x:c r="C11" s="49" t="s">
        <x:v>57</x:v>
      </x:c>
      <x:c r="D11" s="49" t="s">
        <x:v>57</x:v>
      </x:c>
    </x:row>
    <x:row r="12">
      <x:c r="A12" s="95" t="s">
        <x:v>58</x:v>
      </x:c>
      <x:c r="B12" s="95" t="s">
        <x:v>59</x:v>
      </x:c>
      <x:c r="C12" s="95" t="s">
        <x:v>60</x:v>
      </x:c>
      <x:c r="D12" s="95" t="s">
        <x:v>61</x:v>
      </x:c>
    </x:row>
    <x:row r="13" ht="51.95000076293945" customHeight="1">
      <x:c r="A13" s="95" t="s">
        <x:v>62</x:v>
      </x:c>
      <x:c r="B13" s="95" t="s">
        <x:v>63</x:v>
      </x:c>
      <x:c r="C13" s="95" t="s">
        <x:v>64</x:v>
      </x:c>
      <x:c r="D13" s="95" t="s">
        <x:v>65</x:v>
      </x:c>
    </x:row>
    <x:row r="14" ht="51.95000076293945" customHeight="1">
      <x:c r="A14" s="95" t="str">
        <x:v>2 Dokumente registrieren.</x:v>
      </x:c>
      <x:c r="B14" s="95" t="str">
        <x:v>Dokumentkennung, Version, Status, Verantwortlichen und Ablageort eintragen.</x:v>
      </x:c>
      <x:c r="C14" s="95"/>
      <x:c r="D14" s="95" t="str">
        <x:v>Die IDs D01 bis D12 sind für IEC 61508-2, Kapitel 7.3 vorbereitet.</x:v>
      </x:c>
    </x:row>
    <x:row r="15" ht="51.95000076293945" customHeight="1">
      <x:c r="A15" s="95" t="str">
        <x:v>3 Prüfpunkte bewerten.</x:v>
      </x:c>
      <x:c r="B15" s="95" t="str">
        <x:v>Auf „Review 7.3“ das Prüfergebnis formulieren und die Dokument-IDs prüfen.</x:v>
      </x:c>
      <x:c r="C15" s="95"/>
      <x:c r="D15" s="95" t="str">
        <x:v>Status / OK über das Auswahlfeld setzen.</x:v>
      </x:c>
    </x:row>
    <x:row r="16" ht="51.95000076293945" customHeight="1">
      <x:c r="A16" s="95" t="str">
        <x:v>4 Maßnahmen erfassen.</x:v>
      </x:c>
      <x:c r="B16" s="95" t="str">
        <x:v>Abweichungen oder Beschlüsse mit Prüfpunkt, Verantwortlichem, Fälligkeit und Status eintragen.</x:v>
      </x:c>
      <x:c r="C16" s="95"/>
      <x:c r="D16" s="95" t="str">
        <x:v>IDs M-01 bis M-20 sind vorbereitet.</x:v>
      </x:c>
    </x:row>
    <x:row r="17" ht="51.95000076293945" customHeight="1">
      <x:c r="A17" s="95" t="str">
        <x:v>5 Validierungsplanung prüfen.</x:v>
      </x:c>
      <x:c r="B17" s="95" t="str">
        <x:v>Die sieben Planungsinhalte nach IEC 61508-2, 7.3.2.2 a) bis g) als Prüfhilfe verwenden.</x:v>
      </x:c>
      <x:c r="C17" s="95"/>
      <x:c r="D17" s="95" t="str">
        <x:v>Kapitel 7.3 enthält keinen direkten Verweis auf IEC 61508-7.</x:v>
      </x:c>
    </x:row>
    <x:row r="18" ht="51.95000076293945" customHeight="1">
      <x:c r="A18" s="95" t="str">
        <x:v>6 Gesamtergebnis festlegen.</x:v>
      </x:c>
      <x:c r="B18" s="95" t="str">
        <x:v>Auf „Übersicht“ Ergebnis, Begründung und Zusammenfassung eintragen.</x:v>
      </x:c>
      <x:c r="C18" s="95"/>
      <x:c r="D18" s="95" t="str">
        <x:v>Fortschrittskennzahlen werden automatisch berechnet.</x:v>
      </x:c>
    </x:row>
    <x:row r="19" ht="51.95000076293945" customHeight="1">
      <x:c r="A19" s="95" t="s">
        <x:v>66</x:v>
      </x:c>
      <x:c r="B19" s="95" t="s">
        <x:v>67</x:v>
      </x:c>
      <x:c r="C19" s="95" t="s">
        <x:v>68</x:v>
      </x:c>
      <x:c r="D19" s="95" t="s">
        <x:v>69</x:v>
      </x:c>
    </x:row>
    <x:row r="20">
      <x:c r="A20" s="95"/>
      <x:c r="B20" s="95"/>
      <x:c r="C20" s="95"/>
      <x:c r="D20" s="95"/>
    </x:row>
    <x:row r="21">
      <x:c r="A21" s="98" t="str">
        <x:v>Quellen: IEC 61508-2, 7.3.1 und 7.3.2; ergänzende Verweise gemäß den einzelnen Prüfpunkten.</x:v>
      </x:c>
      <x:c r="B21" s="98" t="s">
        <x:v>70</x:v>
      </x:c>
      <x:c r="C21" s="98" t="s">
        <x:v>70</x:v>
      </x:c>
      <x:c r="D21" s="98" t="s">
        <x:v>70</x:v>
      </x:c>
    </x:row>
    <x:row r="22">
      <x:c r="A22" s="1"/>
      <x:c r="B22" s="1"/>
      <x:c r="C22" s="1"/>
      <x:c r="D22" s="1"/>
    </x:row>
    <x:row r="23">
      <x:c r="A23" s="1"/>
      <x:c r="B23" s="1"/>
      <x:c r="C23" s="1"/>
      <x:c r="D23" s="1"/>
    </x:row>
    <x:row r="24">
      <x:c r="A24" s="1"/>
      <x:c r="B24" s="1"/>
      <x:c r="C24" s="1"/>
      <x:c r="D24" s="1"/>
    </x:row>
    <x:row r="25">
      <x:c r="A25" s="1"/>
      <x:c r="B25" s="1"/>
      <x:c r="C25" s="1"/>
      <x:c r="D25" s="1"/>
    </x:row>
    <x:row r="26">
      <x:c r="A26" s="1"/>
      <x:c r="B26" s="1"/>
      <x:c r="C26" s="1"/>
      <x:c r="D26" s="1"/>
    </x:row>
    <x:row r="27">
      <x:c r="A27" s="1"/>
      <x:c r="B27" s="1"/>
      <x:c r="C27" s="1"/>
      <x:c r="D27" s="1"/>
    </x:row>
    <x:row r="28">
      <x:c r="A28" s="1"/>
      <x:c r="B28" s="1"/>
      <x:c r="C28" s="1"/>
      <x:c r="D28" s="1"/>
    </x:row>
  </x:sheetData>
  <x:mergeCells>
    <x:mergeCell ref="A1:D2"/>
    <x:mergeCell ref="A4:D4"/>
    <x:mergeCell ref="A11:D11"/>
    <x:mergeCell ref="A21:D21"/>
  </x:mergeCells>
  <x:pageMargins left="0.7" right="0.7" top="0.75" bottom="0.75" header="0.3" footer="0.3"/>
  <x:tableParts count="2">
    <x:tablePart xmlns:r="http://schemas.openxmlformats.org/officeDocument/2006/relationships" r:id="R3405ed320ade4c2d"/>
    <x:tablePart xmlns:r="http://schemas.openxmlformats.org/officeDocument/2006/relationships" r:id="R84c87cd5e0034f95"/>
  </x:tableParts>
</x:worksheet>
</file>

<file path=xl/worksheets/sheet6.xml><?xml version="1.0" encoding="utf-8"?>
<x:worksheet xmlns:x="http://schemas.openxmlformats.org/spreadsheetml/2006/main">
  <x:sheetViews>
    <x:sheetView showGridLines="0" workbookViewId="0"/>
  </x:sheetViews>
  <x:sheetFormatPr baseColWidth="10" defaultColWidth="9" defaultRowHeight="14.25"/>
  <x:cols>
    <x:col min="1" max="1" width="52" customWidth="1"/>
    <x:col min="2" max="2" width="18" customWidth="1"/>
    <x:col min="3" max="3" width="38" customWidth="1"/>
  </x:cols>
  <x:sheetData>
    <x:row r="1" ht="33.95000076293945" customHeight="1">
      <x:c r="A1" s="102" t="s">
        <x:v>71</x:v>
      </x:c>
      <x:c r="B1" s="89" t="s">
        <x:v>71</x:v>
      </x:c>
      <x:c r="C1" s="89" t="s">
        <x:v>71</x:v>
      </x:c>
    </x:row>
    <x:row r="2" ht="33.95000076293945" customHeight="1">
      <x:c r="A2" s="102" t="s">
        <x:v>71</x:v>
      </x:c>
      <x:c r="B2" s="89" t="s">
        <x:v>71</x:v>
      </x:c>
      <x:c r="C2" s="89" t="s">
        <x:v>71</x:v>
      </x:c>
    </x:row>
    <x:row r="3">
      <x:c r="A3" s="83"/>
      <x:c r="B3" s="83"/>
      <x:c r="C3" s="83"/>
    </x:row>
    <x:row r="4">
      <x:c r="A4" s="69" t="s">
        <x:v>72</x:v>
      </x:c>
      <x:c r="B4" s="69" t="s">
        <x:v>73</x:v>
      </x:c>
      <x:c r="C4" s="69" t="s">
        <x:v>74</x:v>
      </x:c>
    </x:row>
    <x:row r="5" ht="48" customHeight="1">
      <x:c r="A5" s="85"/>
      <x:c r="B5" s="86"/>
      <x:c r="C5" s="85"/>
    </x:row>
    <x:row r="6" ht="48" customHeight="1">
      <x:c r="A6" s="85"/>
      <x:c r="B6" s="86"/>
      <x:c r="C6" s="85"/>
    </x:row>
    <x:row r="7" ht="48" customHeight="1">
      <x:c r="A7" s="85"/>
      <x:c r="B7" s="86"/>
      <x:c r="C7" s="85"/>
    </x:row>
    <x:row r="8" ht="48" customHeight="1">
      <x:c r="A8" s="85"/>
      <x:c r="B8" s="86"/>
      <x:c r="C8" s="85"/>
    </x:row>
    <x:row r="9" ht="48" customHeight="1">
      <x:c r="A9" s="85"/>
      <x:c r="B9" s="86"/>
      <x:c r="C9" s="85"/>
    </x:row>
    <x:row r="10" ht="48" customHeight="1">
      <x:c r="A10" s="85"/>
      <x:c r="B10" s="86"/>
      <x:c r="C10" s="85"/>
    </x:row>
    <x:row r="11" ht="48" customHeight="1">
      <x:c r="A11" s="85"/>
      <x:c r="B11" s="86"/>
      <x:c r="C11" s="85"/>
    </x:row>
    <x:row r="12">
      <x:c r="A12" s="1"/>
      <x:c r="B12" s="1"/>
      <x:c r="C12" s="1"/>
    </x:row>
    <x:row r="13">
      <x:c r="A13" s="1"/>
      <x:c r="B13" s="1"/>
      <x:c r="C13" s="1"/>
    </x:row>
    <x:row r="14">
      <x:c r="A14" s="1"/>
      <x:c r="B14" s="1"/>
      <x:c r="C14" s="1"/>
    </x:row>
    <x:row r="15">
      <x:c r="A15" s="1"/>
      <x:c r="B15" s="1"/>
      <x:c r="C15" s="1"/>
    </x:row>
    <x:row r="16">
      <x:c r="A16" s="1"/>
      <x:c r="B16" s="1"/>
      <x:c r="C16" s="1"/>
    </x:row>
  </x:sheetData>
  <x:mergeCells>
    <x:mergeCell ref="A1:C2"/>
  </x:mergeCells>
  <x:pageMargins left="0.7" right="0.7" top="0.75" bottom="0.75" header="0.3" footer="0.3"/>
  <x:tableParts count="1">
    <x:tablePart xmlns:r="http://schemas.openxmlformats.org/officeDocument/2006/relationships" r:id="Re4f0d58ce5b84b0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72" hidden="0" customWidth="1"/>
    <x:col min="4" max="4" width="28" hidden="0" customWidth="1"/>
    <x:col min="5" max="5" width="28" hidden="0" customWidth="1"/>
    <x:col min="6" max="6" width="44" hidden="0" customWidth="1"/>
    <x:col min="7" max="7" width="44" hidden="0" customWidth="1"/>
    <x:col min="8" max="8" width="36" hidden="0" customWidth="1"/>
  </x:cols>
  <x:sheetData>
    <x:row r="1" ht="34" customHeight="1">
      <x:c r="A1" s="48" t="str">
        <x:v>Validierungsplanung – IEC 61508-2, Kapitel 7.3</x:v>
      </x:c>
      <x:c r="B1" s="81"/>
      <x:c r="C1" s="81"/>
      <x:c r="D1" s="81"/>
      <x:c r="E1" s="81"/>
      <x:c r="F1" s="81"/>
      <x:c r="G1" s="81"/>
      <x:c r="H1" s="81"/>
    </x:row>
    <x:row r="2" ht="34" customHeight="1">
      <x:c r="A2" s="48"/>
      <x:c r="B2" s="81"/>
      <x:c r="C2" s="81"/>
      <x:c r="D2" s="81"/>
      <x:c r="E2" s="81"/>
      <x:c r="F2" s="81"/>
      <x:c r="G2" s="81"/>
      <x:c r="H2" s="81"/>
    </x:row>
    <x:row r="3" ht="24" customHeight="1">
      <x:c r="A3" s="90" t="str">
        <x:v>Ingenieurwissenschaftliche Prüfhilfe für die verbindlichen Planungsinhalte nach IEC 61508-2, 7.3.2.2 a) bis g).</x:v>
      </x:c>
      <x:c r="B3" s="90"/>
      <x:c r="C3" s="90"/>
      <x:c r="D3" s="90"/>
      <x:c r="E3" s="90"/>
      <x:c r="F3" s="90"/>
      <x:c r="G3" s="90"/>
      <x:c r="H3" s="90"/>
    </x:row>
    <x:row r="4">
      <x:c r="A4" s="99"/>
      <x:c r="B4" s="99"/>
      <x:c r="C4" s="99"/>
      <x:c r="D4" s="99"/>
      <x:c r="E4" s="99"/>
      <x:c r="F4" s="99"/>
      <x:c r="G4" s="99"/>
      <x:c r="H4" s="99"/>
    </x:row>
    <x:row r="5" ht="28" customHeight="1">
      <x:c r="A5" s="49" t="str">
        <x:v>Planungsinhalte für die Validierung der Sicherheit des E/E/PE-Systems</x:v>
      </x:c>
      <x:c r="B5" s="49"/>
      <x:c r="C5" s="49"/>
      <x:c r="D5" s="49"/>
      <x:c r="E5" s="49"/>
      <x:c r="F5" s="49"/>
      <x:c r="G5" s="49"/>
      <x:c r="H5" s="49"/>
    </x:row>
    <x:row r="6" ht="28" customHeight="1">
      <x:c r="A6" s="108" t="str">
        <x:v>Nr.</x:v>
      </x:c>
      <x:c r="B6" s="108" t="str">
        <x:v>Verfahren / Maßnahme</x:v>
      </x:c>
      <x:c r="C6" s="108" t="str">
        <x:v>Erläuterung</x:v>
      </x:c>
      <x:c r="D6" s="108" t="str">
        <x:v>Exakte Normreferenz</x:v>
      </x:c>
      <x:c r="E6" s="108" t="str">
        <x:v>Planungsgrundlage</x:v>
      </x:c>
      <x:c r="F6" s="108" t="str">
        <x:v>Erwartetes Ergebnis</x:v>
      </x:c>
      <x:c r="G6" s="108" t="str">
        <x:v>Dokument-ID</x:v>
      </x:c>
      <x:c r="H6" s="108" t="str">
        <x:v>Review / Nachweis</x:v>
      </x:c>
    </x:row>
    <x:row r="7" ht="135" customHeight="1">
      <x:c r="A7" s="109" t="str">
        <x:v>a)</x:v>
      </x:c>
      <x:c r="B7" s="110" t="str">
        <x:v>Vollständige Berücksichtigung aller Anforderungen</x:v>
      </x:c>
      <x:c r="C7" s="110" t="str">
        <x:v>Die Planung muss alle Anforderungen aus der Spezifikation der Sicherheitsanforderungen und der Spezifikation der Entwurfsanforderungen erfassen. Für jede Anforderung ist eine geeignete Validierungstätigkeit festzulegen, damit keine Anforderung unbeabsichtigt ungeprüft bleibt. Eine rückverfolgbare Abdeckungsmatrix stellt die vollständige Zuordnung zwischen Anforderung, Validierungstätigkeit und Nachweis her.</x:v>
      </x:c>
      <x:c r="D7" s="110" t="str">
        <x:v>IEC 61508-2, 7.3.2.2 a)</x:v>
      </x:c>
      <x:c r="E7" s="110" t="str">
        <x:v>Sicherheitsanforderungsspezifikation; Entwurfsanforderungsspezifikation</x:v>
      </x:c>
      <x:c r="F7" s="110" t="str">
        <x:v>Vollständige und freigegebene Anforderungs-Abdeckungsmatrix</x:v>
      </x:c>
      <x:c r="G7" s="110" t="str">
        <x:v>D01, D02, D04</x:v>
      </x:c>
      <x:c r="H7" s="111"/>
    </x:row>
    <x:row r="8" ht="135" customHeight="1">
      <x:c r="A8" s="109" t="str">
        <x:v>b)</x:v>
      </x:c>
      <x:c r="B8" s="110" t="str">
        <x:v>Validierung der korrekten Implementierung jeder Sicherheitsfunktion</x:v>
      </x:c>
      <x:c r="C8" s="110" t="str">
        <x:v>Für jede Sicherheitsfunktion ist ein geeignetes Validierungsverfahren zur Prüfung der korrekten Implementierung festzulegen. Die Planung muss vor der Testausführung objektive Kriterien für bestanden und nicht bestanden definieren. Dadurch wird sichergestellt, dass die funktionale Bewertung reproduzierbar und unabhängig von einer nachträglichen Interpretation erfolgt.</x:v>
      </x:c>
      <x:c r="D8" s="110" t="str">
        <x:v>IEC 61508-2, 7.3.2.2 b)</x:v>
      </x:c>
      <x:c r="E8" s="110" t="str">
        <x:v>Beschreibung jeder Sicherheitsfunktion; Implementierungs- und Schnittstelleninformationen</x:v>
      </x:c>
      <x:c r="F8" s="110" t="str">
        <x:v>Validierungsverfahren und eindeutige Entscheidungskriterien je Sicherheitsfunktion</x:v>
      </x:c>
      <x:c r="G8" s="110" t="str">
        <x:v>D05, D06</x:v>
      </x:c>
      <x:c r="H8" s="111"/>
    </x:row>
    <x:row r="9" ht="135" customHeight="1">
      <x:c r="A9" s="109" t="str">
        <x:v>c)</x:v>
      </x:c>
      <x:c r="B9" s="110" t="str">
        <x:v>Validierung der erforderlichen Sicherheitsintegrität</x:v>
      </x:c>
      <x:c r="C9" s="110" t="str">
        <x:v>Für jede Sicherheitsfunktion ist festzulegen, wie die Übereinstimmung mit der geforderten Sicherheitsintegrität validiert wird. Das Verfahren muss die für die betreffende Anforderung maßgebenden technischen und verfahrensbezogenen Nachweise berücksichtigen. Die Kriterien für bestanden und nicht bestanden sind vorab so zu definieren, dass das Validierungsergebnis eindeutig und auditierbar ist.</x:v>
      </x:c>
      <x:c r="D9" s="110" t="str">
        <x:v>IEC 61508-2, 7.3.2.2 c)</x:v>
      </x:c>
      <x:c r="E9" s="110" t="str">
        <x:v>Anforderungen an die Sicherheitsintegrität; zugehörige Entwurfs- und Nachweisdaten</x:v>
      </x:c>
      <x:c r="F9" s="110" t="str">
        <x:v>Validierungsverfahren und Entscheidungskriterien für die Sicherheitsintegrität</x:v>
      </x:c>
      <x:c r="G9" s="110" t="str">
        <x:v>D07</x:v>
      </x:c>
      <x:c r="H9" s="111"/>
    </x:row>
    <x:row r="10" ht="135" customHeight="1">
      <x:c r="A10" s="109" t="str">
        <x:v>d)</x:v>
      </x:c>
      <x:c r="B10" s="110" t="str">
        <x:v>Festlegung von Testumgebung, Werkzeugen und Betriebsmitteln</x:v>
      </x:c>
      <x:c r="C10" s="110" t="str">
        <x:v>Die Planung muss die physikalische und technische Umgebung festlegen, in der die Validierungstests durchgeführt werden. Sämtliche notwendigen Werkzeuge, Betriebsmittel, Schnittstellen und Konfigurationen sind eindeutig zu benennen. Zusätzlich ist festzulegen, welche Prüfmittel kalibriert sein müssen und wie deren gültiger Kalibrierstatus vor der Verwendung nachgewiesen wird.</x:v>
      </x:c>
      <x:c r="D10" s="110" t="str">
        <x:v>IEC 61508-2, 7.3.2.2 d)</x:v>
      </x:c>
      <x:c r="E10" s="110" t="str">
        <x:v>Testanforderungen; Umgebungsbedingungen; Prüfmittelbestand</x:v>
      </x:c>
      <x:c r="F10" s="110" t="str">
        <x:v>Freigegebene Spezifikation der Testumgebung einschließlich Kalibrieranforderungen</x:v>
      </x:c>
      <x:c r="G10" s="110" t="str">
        <x:v>D08</x:v>
      </x:c>
      <x:c r="H10" s="111"/>
    </x:row>
    <x:row r="11" ht="135" customHeight="1">
      <x:c r="A11" s="109" t="str">
        <x:v>e)</x:v>
      </x:c>
      <x:c r="B11" s="110" t="str">
        <x:v>Festlegung und Begründung der Testbewertungsverfahren</x:v>
      </x:c>
      <x:c r="C11" s="110" t="str">
        <x:v>Für die Bewertung der Testergebnisse sind geeignete Verfahren vor Beginn der Validierung festzulegen. Die Auswahl jedes Bewertungsverfahrens ist technisch zu begründen und muss zur Art der geprüften Anforderung sowie zu den erwarteten Ergebnissen passen. Die festgelegte Auswertung muss eine nachvollziehbare Entscheidung über Erfüllung, Abweichung oder weiteren Untersuchungsbedarf ermöglichen.</x:v>
      </x:c>
      <x:c r="D11" s="110" t="str">
        <x:v>IEC 61508-2, 7.3.2.2 e)</x:v>
      </x:c>
      <x:c r="E11" s="110" t="str">
        <x:v>Testfälle; Messgrößen; Akzeptanzkriterien</x:v>
      </x:c>
      <x:c r="F11" s="110" t="str">
        <x:v>Begründete, reproduzierbare Bewertungsverfahren</x:v>
      </x:c>
      <x:c r="G11" s="110" t="str">
        <x:v>D09</x:v>
      </x:c>
      <x:c r="H11" s="111"/>
    </x:row>
    <x:row r="12" ht="135" customHeight="1">
      <x:c r="A12" s="109" t="str">
        <x:v>f)</x:v>
      </x:c>
      <x:c r="B12" s="110" t="str">
        <x:v>Validierung der elektromagnetischen Störfestigkeitsgrenzwerte</x:v>
      </x:c>
      <x:c r="C12" s="110" t="str">
        <x:v>Die Planung muss die Testverfahren festlegen, mit denen die spezifizierten elektromagnetischen Störfestigkeitsgrenzwerte validiert werden. Zu jedem Testverfahren sind eindeutige Bewertungskriterien und zulässige Systemreaktionen während und nach der Beaufschlagung zu definieren. IEC/TS 61000-1-2 ist als in der Norm genannte Anleitung für die Spezifikation der Störfestigkeitsprüfungen zu berücksichtigen, ersetzt jedoch nicht die projektspezifische Festlegung.</x:v>
      </x:c>
      <x:c r="D12" s="110" t="str">
        <x:v>IEC 61508-2, 7.3.2.2 f); Anmerkung: IEC/TS 61000-1-2</x:v>
      </x:c>
      <x:c r="E12" s="110" t="str">
        <x:v>Spezifizierte Störfestigkeitsgrenzwerte; Betriebszustände; Prüfumgebung</x:v>
      </x:c>
      <x:c r="F12" s="110" t="str">
        <x:v>Freigegebene EMV-Prüfspezifikation mit Bewertungskriterien</x:v>
      </x:c>
      <x:c r="G12" s="110" t="str">
        <x:v>D10</x:v>
      </x:c>
      <x:c r="H12" s="111"/>
    </x:row>
    <x:row r="13" ht="135" customHeight="1">
      <x:c r="A13" s="109" t="str">
        <x:v>g)</x:v>
      </x:c>
      <x:c r="B13" s="110" t="str">
        <x:v>Grundsätze zur Behandlung von Ausfällen während der Validierung</x:v>
      </x:c>
      <x:c r="C13" s="110" t="str">
        <x:v>Die Planung muss verbindliche Regeln für Ausfälle und Abweichungen festlegen, die während der Validierung auftreten. Diese Regeln müssen mindestens Erfassung, Klassifikation, Ursachenanalyse, Auswirkungsbewertung, Korrekturentscheidung und erforderliche Wiederholungsprüfungen abdecken. Der weitere Validierungsablauf darf erst auf Grundlage dokumentierter und freigegebener Entscheidungen fortgesetzt werden.</x:v>
      </x:c>
      <x:c r="D13" s="110" t="str">
        <x:v>IEC 61508-2, 7.3.2.2 g)</x:v>
      </x:c>
      <x:c r="E13" s="110" t="str">
        <x:v>Fehler- und Abweichungsmanagement; Konfigurationsstand des Prüflings</x:v>
      </x:c>
      <x:c r="F13" s="110" t="str">
        <x:v>Dokumentierter Prozess für Ausfallbehandlung und Regression</x:v>
      </x:c>
      <x:c r="G13" s="110" t="str">
        <x:v>D11</x:v>
      </x:c>
      <x:c r="H13" s="111"/>
    </x:row>
    <x:row r="14" ht="126" customHeight="1">
      <x:c r="A14" s="100"/>
      <x:c r="B14" s="92"/>
      <x:c r="C14" s="92"/>
      <x:c r="D14" s="92"/>
      <x:c r="E14" s="92"/>
      <x:c r="F14" s="92"/>
      <x:c r="G14" s="92"/>
      <x:c r="H14" s="85"/>
    </x:row>
    <x:row r="15" ht="126" customHeight="1">
      <x:c r="A15" s="100"/>
      <x:c r="B15" s="92"/>
      <x:c r="C15" s="92"/>
      <x:c r="D15" s="92"/>
      <x:c r="E15" s="92"/>
      <x:c r="F15" s="92"/>
      <x:c r="G15" s="92"/>
      <x:c r="H15" s="85"/>
    </x:row>
    <x:row r="16">
      <x:c r="A16" s="99"/>
      <x:c r="B16" s="99"/>
      <x:c r="C16" s="99"/>
      <x:c r="D16" s="99"/>
      <x:c r="E16" s="99"/>
      <x:c r="F16" s="99"/>
      <x:c r="G16" s="99"/>
      <x:c r="H16" s="99"/>
    </x:row>
    <x:row r="17" ht="44" customHeight="1">
      <x:c r="A17" s="112" t="str">
        <x:v>Hinweis: IEC 61508-2, Kapitel 7.3 enthält keinen direkten Verweis auf IEC 61508-7; Anhang B enthält für die Validierungsplanung nach 7.3 keine eigene Verfahrens- oder Maßnahmentabelle. Deshalb wurden keine nicht belegten Teil-7-Referenzen ergänzt.</x:v>
      </x:c>
      <x:c r="B17" s="112"/>
      <x:c r="C17" s="112"/>
      <x:c r="D17" s="112"/>
      <x:c r="E17" s="112"/>
      <x:c r="F17" s="112"/>
      <x:c r="G17" s="112"/>
      <x:c r="H17" s="112"/>
    </x:row>
  </x:sheetData>
  <x:mergeCells>
    <x:mergeCell ref="A1:H2"/>
    <x:mergeCell ref="A3:H3"/>
    <x:mergeCell ref="A5:H5"/>
    <x:mergeCell ref="A17:H17"/>
  </x:mergeCells>
  <x:pageMargins left="0.7" right="0.7" top="0.75" bottom="0.75" header="0.3" footer="0.3"/>
</x:worksheet>
</file>