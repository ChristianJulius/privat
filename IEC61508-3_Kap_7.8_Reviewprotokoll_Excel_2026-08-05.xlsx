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8_{34204360-38E4-486D-95F5-9D7CF239B4B4}" xr6:coauthVersionLast="47" xr6:coauthVersionMax="47" xr10:uidLastSave="{00000000-0000-0000-0000-000000000000}"/>
  <bookViews>
    <workbookView xWindow="-120" yWindow="-120" windowWidth="29040" windowHeight="15720" firstSheet="1" activeTab="2" xr2:uid="{00000000-000D-0000-FFFF-FFFF00000000}"/>
  </bookViews>
  <sheets>
    <sheet name="Übersicht" sheetId="1" r:id="rId1"/>
    <sheet name="Review 7.8" sheetId="2" r:id="rId2"/>
    <sheet name="Eingabe- &amp; Ausgabe" sheetId="3" r:id="rId3"/>
    <sheet name="Maßnahmen" sheetId="4" r:id="rId4"/>
    <sheet name="Anhang A.8" sheetId="5" r:id="rId5"/>
    <sheet name="Legende &amp; Hinweise" sheetId="6" r:id="rId6"/>
    <sheet name="Unterschrifte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H5" i="3"/>
  <c r="F5" i="3"/>
  <c r="D5" i="3"/>
  <c r="G20" i="1"/>
  <c r="E20" i="1"/>
  <c r="C20" i="1"/>
  <c r="A20" i="1"/>
  <c r="H20" i="1" s="1"/>
</calcChain>
</file>

<file path=xl/sharedStrings.xml><?xml version="1.0" encoding="utf-8"?>
<sst xmlns="http://schemas.openxmlformats.org/spreadsheetml/2006/main" count="626" uniqueCount="324">
  <si>
    <t>Reviewprotokoll IEC 61508-3 – Kapitel 7.8 Softwaremodifikation</t>
  </si>
  <si>
    <t>Strukturierte Arbeitsmappe für SIL 1 bis SIL 3 · Eingabefelder sind gelb markiert</t>
  </si>
  <si>
    <t>Reviewdaten</t>
  </si>
  <si>
    <t>Projekt / Teilprojekt</t>
  </si>
  <si>
    <t>Review-Gegenstand</t>
  </si>
  <si>
    <t>Dokument / Referenz</t>
  </si>
  <si>
    <t>Index</t>
  </si>
  <si>
    <t>SIL</t>
  </si>
  <si>
    <t>Checkliste</t>
  </si>
  <si>
    <t>IEC 61508-3: Kapitel 7.8 Softwaremodifikation</t>
  </si>
  <si>
    <t>Ort</t>
  </si>
  <si>
    <t>Datum / Zeitraum</t>
  </si>
  <si>
    <t>Reviewleitung</t>
  </si>
  <si>
    <t>Protokollführung</t>
  </si>
  <si>
    <t>Teilnehmer</t>
  </si>
  <si>
    <t>Teilnehmer 1</t>
  </si>
  <si>
    <t>Teilnehmer 2</t>
  </si>
  <si>
    <t>Teilnehmer 3</t>
  </si>
  <si>
    <t>Teilnehmer 4</t>
  </si>
  <si>
    <t>Fortschritt und Review-Ergebnis</t>
  </si>
  <si>
    <t>Prüfpunkte</t>
  </si>
  <si>
    <t>OK</t>
  </si>
  <si>
    <t>Nicht OK</t>
  </si>
  <si>
    <t>Nicht geprüft</t>
  </si>
  <si>
    <t>Abschluss</t>
  </si>
  <si>
    <t>Gesamtergebnis</t>
  </si>
  <si>
    <t>Ergebnis / Begründung</t>
  </si>
  <si>
    <t>Zusammenfassung</t>
  </si>
  <si>
    <t>Das Dokument wurde auf konzeptionelle Fehler, inhaltliche Fehler und auf Konformität zu den Anforderungen der IEC 61508 geprüft.</t>
  </si>
  <si>
    <t>Checkliste – IEC 61508-3, Kapitel 7.8</t>
  </si>
  <si>
    <t>Prüfergebnis: konkrete Bewertung des Prüfpunkts. Kommentar / Nachweis: Begründung, Referenz auf Nachweise oder offene Punkte.</t>
  </si>
  <si>
    <t>Kapitel 7.8</t>
  </si>
  <si>
    <t>Softwaremodifikation</t>
  </si>
  <si>
    <t>11 Prüfpunkte einschließlich Ziel</t>
  </si>
  <si>
    <t>Dokumentenbezug</t>
  </si>
  <si>
    <t>Status / OK</t>
  </si>
  <si>
    <t>Nr.</t>
  </si>
  <si>
    <t>Normkapitel</t>
  </si>
  <si>
    <t>Prüffrage</t>
  </si>
  <si>
    <t>Prüfergebnis</t>
  </si>
  <si>
    <t>Kommentar / Nachweis</t>
  </si>
  <si>
    <t>E/A-Dokumente (IDs)</t>
  </si>
  <si>
    <t>Z1</t>
  </si>
  <si>
    <t>7.8.1</t>
  </si>
  <si>
    <t>Werden Modifikationen, Erweiterungen oder Anpassungen bereits validierter Software nach einem geregelten Verfahren durchgeführt, sodass die systematische Eignung der Software erhalten bleibt?</t>
  </si>
  <si>
    <t>D01, D02, D04, D17, D21, D22</t>
  </si>
  <si>
    <t>1</t>
  </si>
  <si>
    <t>7.8.2.1</t>
  </si>
  <si>
    <t>Liegen festgelegte Verfahren für Softwaremodifikationen vor, bevor eine Softwaremodifikation durchgeführt wird?</t>
  </si>
  <si>
    <t>D01</t>
  </si>
  <si>
    <t>2</t>
  </si>
  <si>
    <t>7.8.2.2</t>
  </si>
  <si>
    <t>Wird eine Modifikation erst begonnen, wenn eine nach den Verfahren der Sicherheitsplanung autorisierte Softwaremodifikationsanforderung vorliegt, die beschreibt:
a) die möglicherweise betroffenen Gefährdungen;
b) die vorgeschlagene Modifikation;
c) die Gründe für die Modifikation?</t>
  </si>
  <si>
    <t>D02</t>
  </si>
  <si>
    <t>3</t>
  </si>
  <si>
    <t>7.8.2.3</t>
  </si>
  <si>
    <t>Wurde eine Einflussanalyse der vorgeschlagenen Softwaremodifikation auf die funktionale Sicherheit des sicherheitsbezogenen E/E/PE-Systems durchgeführt, um festzustellen:
a) ob eine Gefährdungs- und Risikoanalyse erforderlich ist;
b) welche Phasen des Software-Sicherheitslebenszyklus wiederholt werden müssen?</t>
  </si>
  <si>
    <t>D03–D05, D11–D15</t>
  </si>
  <si>
    <t>4</t>
  </si>
  <si>
    <t>7.8.2.4</t>
  </si>
  <si>
    <t>Sind die Ergebnisse der Einflussanalyse nach 7.8.2.3 dokumentiert?</t>
  </si>
  <si>
    <t>D04, D05</t>
  </si>
  <si>
    <t>5</t>
  </si>
  <si>
    <t>7.8.2.5</t>
  </si>
  <si>
    <t>Führt jede Modifikation mit Einfluss auf die funktionale Sicherheit zur Rückkehr in eine angemessene Phase des Software-Sicherheitslebenszyklus? Werden alle nachfolgenden Phasen nach den dafür festgelegten Verfahren dieser Norm durchgeführt? Führt die Sicherheitsplanung alle anschließend erforderlichen Tätigkeiten auf?</t>
  </si>
  <si>
    <t>D06, D09–D11, D14–D16, D19, D20</t>
  </si>
  <si>
    <t>6</t>
  </si>
  <si>
    <t>7.8.2.6</t>
  </si>
  <si>
    <t>Erfüllt die Sicherheitsplanung für Softwaremodifikationen die Anforderungen aus IEC 61508-1, Abschnitt 6, und enthält sie insbesondere:
a) die Benennung des Personals und die erforderlichen Kompetenzen;
b) eine genaue Spezifikation der Modifikation;
c) die Planung der Verifikation;
d) den nach dem Sicherheits-Integritätslevel erforderlichen Umfang der Neuvalidierung und der Tests?</t>
  </si>
  <si>
    <t>D06–D10</t>
  </si>
  <si>
    <t>7</t>
  </si>
  <si>
    <t>7.8.2.7</t>
  </si>
  <si>
    <t>Wurde die Modifikation wie geplant durchgeführt?</t>
  </si>
  <si>
    <t>D11, D15–D17</t>
  </si>
  <si>
    <t>8</t>
  </si>
  <si>
    <t>7.8.2.8</t>
  </si>
  <si>
    <t>Dokumentieren die Unterlagen zu jeder Modifikation:
a) die Anforderung der Modifikation oder Nachrüstung;
b) die Ergebnisse der Einflussanalyse, die Entscheidungen und deren Begründungen;
c) den Verlauf des Software-Konfigurationsmanagements;
d) Abweichungen vom normalen Betrieb und von normalen Bedingungen;
e) alle durch die Modifikation betroffenen dokumentierten Informationen?</t>
  </si>
  <si>
    <t>D02, D04, D05, D13, D14, D17, D18, D21</t>
  </si>
  <si>
    <t>9</t>
  </si>
  <si>
    <t>7.8.2.9</t>
  </si>
  <si>
    <t>Sind die Einzelheiten jeder Modifikation einschließlich der Neuverifikation und Neuvalidierung der Daten und Ergebnisse dokumentiert?</t>
  </si>
  <si>
    <t>D17, D19–D21</t>
  </si>
  <si>
    <t>10</t>
  </si>
  <si>
    <t>7.8.2.10</t>
  </si>
  <si>
    <t>Beruht die Beurteilung der geforderten Modifikation oder Nachrüstung auf den Ergebnissen der Einflussanalyse und auf der systematischen Eignung der Software?</t>
  </si>
  <si>
    <t>D04, D12, D22</t>
  </si>
  <si>
    <t>Eingabe- und Ausgabedokumente der Softwaremodifikation</t>
  </si>
  <si>
    <t>Normnahes Dokumentenregister für Kapitel 7.8: vorbereitete Dokumenttypen mit Bezug zu Prüfpunkt und Normkapitel. Gelbe Zellen werden projektspezifisch ausgefüllt.</t>
  </si>
  <si>
    <t>Dokumente</t>
  </si>
  <si>
    <t>Eingaben</t>
  </si>
  <si>
    <t>Ausgaben</t>
  </si>
  <si>
    <t>Geprüft / freigegeben</t>
  </si>
  <si>
    <t>Nicht vorgelegt</t>
  </si>
  <si>
    <t>ID</t>
  </si>
  <si>
    <t>Art</t>
  </si>
  <si>
    <t>Normbegriff / Dokument</t>
  </si>
  <si>
    <t>Funktion / erwarteter Inhalt</t>
  </si>
  <si>
    <t>Bezug Prüfpunkt</t>
  </si>
  <si>
    <t>Normreferenz</t>
  </si>
  <si>
    <t>Dokumentkennung / Referenz</t>
  </si>
  <si>
    <t>Version / Index</t>
  </si>
  <si>
    <t>Status</t>
  </si>
  <si>
    <t>Verantwortlich</t>
  </si>
  <si>
    <t>Ablageort / Link</t>
  </si>
  <si>
    <t>Eingabe</t>
  </si>
  <si>
    <t>Verfahren zur Modifikation der Software</t>
  </si>
  <si>
    <t>Vor der Modifikation festgelegtes und autorisiertes Verfahren für Beantragung, Analyse, Planung, Durchführung, Verifikation, Validierung und Dokumentation.</t>
  </si>
  <si>
    <t>Z1, 1</t>
  </si>
  <si>
    <t>IEC 61508-3, 7.8.1 und 7.8.2.1</t>
  </si>
  <si>
    <t>Autorisierte Softwaremodifikationsanforderung</t>
  </si>
  <si>
    <t>Beschreibt möglicherweise betroffene Gefährdungen, vorgeschlagene Modifikation und Gründe für die Modifikation.</t>
  </si>
  <si>
    <t>2, 8</t>
  </si>
  <si>
    <t>IEC 61508-3, 7.8.2.2 und 7.8.2.8 a)</t>
  </si>
  <si>
    <t>D03</t>
  </si>
  <si>
    <t>Eingabe / Ausgabe</t>
  </si>
  <si>
    <t>Gefährdungs- und Risikoanalyse</t>
  </si>
  <si>
    <t>Wird entsprechend der Einflussanalyse durchgeführt oder aktualisiert, wenn die vorgeschlagene Modifikation dies erfordert.</t>
  </si>
  <si>
    <t>IEC 61508-3, 7.8.2.3 a)</t>
  </si>
  <si>
    <t>D04</t>
  </si>
  <si>
    <t>Ausgabe</t>
  </si>
  <si>
    <t>Ergebnisse der Einflussanalyse der Softwaremodifikation</t>
  </si>
  <si>
    <t>Bewertet den Einfluss auf die funktionale Sicherheit und legt erforderliche Wiederholungen von Lebenszyklusphasen fest.</t>
  </si>
  <si>
    <t>3, 4, 8, 10</t>
  </si>
  <si>
    <t>IEC 61508-3, 7.8.2.3, 7.8.2.4, 7.8.2.8 b) und 7.8.2.10</t>
  </si>
  <si>
    <t>D05</t>
  </si>
  <si>
    <t>Entscheidungen und Begründungen der Einflussanalyse</t>
  </si>
  <si>
    <t>Dokumentiert Annahmen, Entscheidungen, Grenzen der Beeinflussung und deren fachliche Begründung.</t>
  </si>
  <si>
    <t>3, 4, 8</t>
  </si>
  <si>
    <t>IEC 61508-3, 7.8.2.4 und 7.8.2.8 b)</t>
  </si>
  <si>
    <t>D06</t>
  </si>
  <si>
    <t>Sicherheitsplanung für Softwaremodifikationen</t>
  </si>
  <si>
    <t>Führt erforderliche Tätigkeiten, Verantwortlichkeiten, Kompetenzen, Verifikation, Neuvalidierung und Tests auf.</t>
  </si>
  <si>
    <t>5, 6</t>
  </si>
  <si>
    <t>IEC 61508-3, 7.8.2.5 und 7.8.2.6; IEC 61508-1, Abschnitt 6</t>
  </si>
  <si>
    <t>D07</t>
  </si>
  <si>
    <t>Benennung des Personals und Nachweis der erforderlichen Kompetenzen</t>
  </si>
  <si>
    <t>Weist Rollen, Autorisierung und Kompetenz der an Modifikation, Verifikation und Validierung beteiligten Personen nach.</t>
  </si>
  <si>
    <t>IEC 61508-3, 7.8.2.6 a)</t>
  </si>
  <si>
    <t>D08</t>
  </si>
  <si>
    <t>Genaue Spezifikation der Modifikation</t>
  </si>
  <si>
    <t>Definiert Umfang, betroffene Funktionen, Schnittstellen, Daten, Softwareteile und Akzeptanzkriterien der Änderung.</t>
  </si>
  <si>
    <t>IEC 61508-3, 7.8.2.6 b)</t>
  </si>
  <si>
    <t>D09</t>
  </si>
  <si>
    <t>Planung der Verifikation / Plan der Neuverifikation</t>
  </si>
  <si>
    <t>Legt Verfahren, Umfang, Prüfkriterien, Testumgebung und Nachweise für geänderte und betroffene Software fest.</t>
  </si>
  <si>
    <t>5, 6, 9</t>
  </si>
  <si>
    <t>IEC 61508-3, 7.8.2.6 c) und 7.8.2.9</t>
  </si>
  <si>
    <t>D10</t>
  </si>
  <si>
    <t>Plan der Neuvalidierung und der Tests</t>
  </si>
  <si>
    <t>Legt den nach Sicherheits-Integritätslevel erforderlichen Umfang der Neuvalidierung, Regressionstests und sonstigen Tests fest.</t>
  </si>
  <si>
    <t>IEC 61508-3, 7.8.2.6 d) und 7.8.2.9</t>
  </si>
  <si>
    <t>D11</t>
  </si>
  <si>
    <t>Plan der Softwaremodifikation</t>
  </si>
  <si>
    <t>Führt Änderungs-, Neuverifikations- und Neuvalidierungstätigkeiten sowie deren Rückverfolgbarkeit zusammen.</t>
  </si>
  <si>
    <t>3, 5, 7</t>
  </si>
  <si>
    <t>IEC 61508-3, Tabelle A.8 und 7.8.2.5 bis 7.8.2.7</t>
  </si>
  <si>
    <t>D12</t>
  </si>
  <si>
    <t>Spezifikation der Anforderungen an die Sicherheit der Software</t>
  </si>
  <si>
    <t>Bezugsgrundlage zur Beurteilung betroffener Sicherheitsanforderungen und der systematischen Eignung der Software.</t>
  </si>
  <si>
    <t>3, 10</t>
  </si>
  <si>
    <t>IEC 61508-3, Tabelle A.8 und 7.8.2.10</t>
  </si>
  <si>
    <t>D13</t>
  </si>
  <si>
    <t>Durch die Modifikation betroffene dokumentierte Informationen</t>
  </si>
  <si>
    <t>Umfasst betroffene Anforderungen, Entwürfe, Module, Schnittstellen, Daten, Werkzeuge, Testmittel und Nachweise.</t>
  </si>
  <si>
    <t>3, 8</t>
  </si>
  <si>
    <t>IEC 61508-3, 7.8.2.3 und 7.8.2.8 e)</t>
  </si>
  <si>
    <t>D14</t>
  </si>
  <si>
    <t>Verlauf des Software-Konfigurationsmanagements</t>
  </si>
  <si>
    <t>Dokumentiert Versionen, Baselines, Änderungsstatus, Freigaben, Abhängigkeiten und Wiederherstellbarkeit konsistenter Systemstände.</t>
  </si>
  <si>
    <t>3, 5, 8</t>
  </si>
  <si>
    <t>IEC 61508-3, 7.8.2.8 c), Abschnitt 6 und Tabelle A.8</t>
  </si>
  <si>
    <t>D15</t>
  </si>
  <si>
    <t>Betroffene Konfigurationselemente und freigegebene Baseline</t>
  </si>
  <si>
    <t>Kennzeichnet die von der Modifikation betroffenen Softwaremodule, Daten, Dokumente, Werkzeuge und Testmittel versionsbezogen.</t>
  </si>
  <si>
    <t>IEC 61508-3, 7.8.2.3, 7.8.2.5 bis 7.8.2.7; IEC 61508-7, C.5.24</t>
  </si>
  <si>
    <t>D16</t>
  </si>
  <si>
    <t>Implementierte Softwaremodifikation</t>
  </si>
  <si>
    <t>Eindeutig gekennzeichnete geänderte Software, Daten und zugehörige Konfigurationselemente entsprechend der freigegebenen Planung.</t>
  </si>
  <si>
    <t>5, 7</t>
  </si>
  <si>
    <t>IEC 61508-3, 7.8.2.5 und 7.8.2.7</t>
  </si>
  <si>
    <t>D17</t>
  </si>
  <si>
    <t>Logbuch der Softwaremodifikation</t>
  </si>
  <si>
    <t>Fortlaufender, versionsbezogener Änderungsdatensatz mit Antrag, Entscheidungen, Durchführung, Problemen, Korrekturen und Freigaben.</t>
  </si>
  <si>
    <t>Z1, 7, 8, 9</t>
  </si>
  <si>
    <t>IEC 61508-3, 7.8.2.7 bis 7.8.2.9; IEC 61508-7, C.5.2</t>
  </si>
  <si>
    <t>D18</t>
  </si>
  <si>
    <t>Aufzeichnung von Abweichungen vom normalen Betrieb und von normalen Bedingungen</t>
  </si>
  <si>
    <t>Dokumentiert alle im Zusammenhang mit der Modifikation beobachteten Abweichungen und deren Behandlung.</t>
  </si>
  <si>
    <t>IEC 61508-3, 7.8.2.8 d)</t>
  </si>
  <si>
    <t>D19</t>
  </si>
  <si>
    <t>Nachweise der Neuverifikation</t>
  </si>
  <si>
    <t>Enthält Ergebnisse der Neuverifikation geänderter und durch Abhängigkeiten betroffener Softwaremodule einschließlich abgeschlossener Abweichungen.</t>
  </si>
  <si>
    <t>5, 9</t>
  </si>
  <si>
    <t>IEC 61508-3, 7.8.2.5, 7.8.2.6 und 7.8.2.9; IEC 61508-7, C.5.23</t>
  </si>
  <si>
    <t>D20</t>
  </si>
  <si>
    <t>Nachweise der Neuvalidierung und der Regressionstests</t>
  </si>
  <si>
    <t>Enthält Testauswahl, Zielkonfiguration, Akzeptanzkriterien, Ergebnisse, Abweichungen und abschließende Bewertung.</t>
  </si>
  <si>
    <t>IEC 61508-3, 7.8.2.5 bis 7.8.2.9 und Tabelle A.8; IEC 61508-7, C.5.25</t>
  </si>
  <si>
    <t>D21</t>
  </si>
  <si>
    <t>Einzelheiten der Modifikation einschließlich Daten und Ergebnissen der Neuverifikation und Neuvalidierung</t>
  </si>
  <si>
    <t>Vollständige Dokumentation der Modifikation und sämtlicher zugehöriger Verifikations- und Validierungsergebnisse.</t>
  </si>
  <si>
    <t>8, 9</t>
  </si>
  <si>
    <t>IEC 61508-3, 7.8.2.8 und 7.8.2.9</t>
  </si>
  <si>
    <t>D22</t>
  </si>
  <si>
    <t>Beurteilung und Freigabe der Modifikation oder Nachrüstung</t>
  </si>
  <si>
    <t>Begründetes Urteil auf Grundlage der Einflussanalyse und der systematischen Eignung der Software.</t>
  </si>
  <si>
    <t>IEC 61508-3, 7.8.2.10</t>
  </si>
  <si>
    <t>Review-Ergebnisse und durchzuführende Maßnahmen</t>
  </si>
  <si>
    <t>A = Aufgabe · I = Information · B = Beschluss. Der Bezug zum Prüfpunkt ermöglicht die direkte Rückverfolgung.</t>
  </si>
  <si>
    <t>Typ</t>
  </si>
  <si>
    <t>Review-Ergebnis / Maßnahme</t>
  </si>
  <si>
    <t>Fällig am</t>
  </si>
  <si>
    <t>M-01</t>
  </si>
  <si>
    <t>Offen</t>
  </si>
  <si>
    <t>M-02</t>
  </si>
  <si>
    <t>M-03</t>
  </si>
  <si>
    <t>M-04</t>
  </si>
  <si>
    <t>M-05</t>
  </si>
  <si>
    <t>M-06</t>
  </si>
  <si>
    <t>M-07</t>
  </si>
  <si>
    <t>M-08</t>
  </si>
  <si>
    <t>M-09</t>
  </si>
  <si>
    <t>M-10</t>
  </si>
  <si>
    <t>M-11</t>
  </si>
  <si>
    <t>M-12</t>
  </si>
  <si>
    <t>M-13</t>
  </si>
  <si>
    <t>M-14</t>
  </si>
  <si>
    <t>M-15</t>
  </si>
  <si>
    <t>M-16</t>
  </si>
  <si>
    <t>M-17</t>
  </si>
  <si>
    <t>M-18</t>
  </si>
  <si>
    <t>M-19</t>
  </si>
  <si>
    <t>M-20</t>
  </si>
  <si>
    <t>Tabelle A.8 – Modifikation (siehe 7.8)</t>
  </si>
  <si>
    <t>Normnahe Erläuterungen und vollständige Referenzen; Anwendbarkeit für SIL 1 bis SIL 3.</t>
  </si>
  <si>
    <t>Verfahren / Maßnahme</t>
  </si>
  <si>
    <t>Siehe</t>
  </si>
  <si>
    <t>SIL 1</t>
  </si>
  <si>
    <t>SIL 2</t>
  </si>
  <si>
    <t>SIL 3</t>
  </si>
  <si>
    <t>Erläuterung</t>
  </si>
  <si>
    <t>Einflussanalyse</t>
  </si>
  <si>
    <t>C.5.23</t>
  </si>
  <si>
    <t>++</t>
  </si>
  <si>
    <t>Die Einflussanalyse wird vor der Umsetzung einer Änderung durchgeführt und ermittelt, welche Sicherheitsanforderungen, Softwaremodule, Schnittstellen, Daten, Werkzeuge, Dokumente und verbundenen Systeme betroffen sein können. Aus Umfang, Kritikalität und Art der Änderung wird abgeleitet, welche Lebenszyklusphasen sowie welche Verifikations- und Validierungstätigkeiten zu wiederholen sind. Die Analyse, ihre Annahmen, Entscheidungen und Begründungen müssen freigegeben und nachvollziehbar dokumentiert sein.</t>
  </si>
  <si>
    <t>IEC 61508-7, C.5.23; IEC 61508-3, 7.8.2.3 bis 7.8.2.6</t>
  </si>
  <si>
    <t>Neuverifikation geänderter Softwaremodule</t>
  </si>
  <si>
    <t>Das tatsächlich geänderte Softwaremodul muss vollständig neu verifiziert werden, weil seine bisherigen Nachweise für die geänderte Version nicht ohne Weiteres gelten. Zu prüfen sind mindestens die geänderten Anforderungen, der Modulentwurf, der Code, die Programmierrichtlinien und die zugehörigen Modul- und Schnittstellentests. Der Nachweis muss die neue Version, Testkonfiguration, Ergebnisse und den Abschluss aller Abweichungen eindeutig ausweisen.</t>
  </si>
  <si>
    <t>IEC 61508-7, C.5.23; IEC 61508-3, 7.8.2.5, 7.8.2.6 und 7.8.2.9</t>
  </si>
  <si>
    <t>Neuverifikation betroffener Softwaremodule</t>
  </si>
  <si>
    <t>+</t>
  </si>
  <si>
    <t>Neben dem direkt geänderten Modul sind alle durch Datenfluss, Kontrollfluss, Schnittstellen, Zeitverhalten oder gemeinsame Ressourcen betroffenen Module neu zu verifizieren. Der Umfang ergibt sich aus der Einflussanalyse und darf nicht nur auf unmittelbar geänderte Dateien beschränkt werden. Im Review müssen die Abhängigkeitsanalyse, die Auswahl der betroffenen Module und die zugehörigen Regressionsergebnisse nachvollziehbar sein.</t>
  </si>
  <si>
    <t>4a</t>
  </si>
  <si>
    <t>Neuvalidierung des gesamten Systems</t>
  </si>
  <si>
    <t>Tabelle A.7</t>
  </si>
  <si>
    <t>O</t>
  </si>
  <si>
    <t>Eine Neuvalidierung des gesamten Systems ist erforderlich, wenn die Änderung weitreichend ist, die Grenzen der Beeinflussung nicht sicher eingegrenzt werden können oder zentrale Sicherheitsfunktionen betroffen sind. Die Validierung wird gegen die freigegebenen Software-Sicherheitsanforderungen und unter der festgelegten Zielkonfiguration wiederholt. Umfang, Testumgebung, Akzeptanzkriterien, Abweichungen und abschließende Freigabe sind vollständig zu dokumentieren.</t>
  </si>
  <si>
    <t>IEC 61508-3, Tabelle A.7 und 7.8.2.5 bis 7.8.2.9; IEC 61508-7, C.5.1, C.5.18, B.5.1, B.5.2 und C.2.11</t>
  </si>
  <si>
    <t>4b</t>
  </si>
  <si>
    <t>Validierung durch Regressionstest</t>
  </si>
  <si>
    <t>C.5.25</t>
  </si>
  <si>
    <t>Beim Regressionstest wird geprüft, ob die Änderung keine bereits nachgewiesenen Funktionen oder Sicherheitseigenschaften unbeabsichtigt beeinträchtigt. Eine Einschränkung auf Teilbereiche ist nur zulässig, wenn die Einflussanalyse den Geltungsbereich eindeutig begründet; aus einem Teiltest dürfen keine Aussagen über ungeprüfte Systemteile abgeleitet werden. Testauswahl, unveränderte Baseline, Zielversion, Ergebnisse und Restrestrisiken müssen dokumentiert sein.</t>
  </si>
  <si>
    <t>IEC 61508-7, C.5.25 und C.5.23; IEC 61508-3, Tabelle A.8</t>
  </si>
  <si>
    <t>Software-Konfigurationsmanagement</t>
  </si>
  <si>
    <t>C.5.24</t>
  </si>
  <si>
    <t>Das Software-Konfigurationsmanagement stellt sicher, dass Anforderungen, Entwurf, Code, Daten, Werkzeuge, Testmittel und Nachweise in zueinander passenden Versionen geführt werden. Jede freigegebene Änderung muss einer eindeutigen Baseline zugeordnet und reproduzierbar aufgebaut werden können. Im Review sind Versionshistorie, Änderungsstatus, Freigaben, Abhängigkeiten und die Wiederherstellbarkeit eines konsistenten Systemstands zu prüfen.</t>
  </si>
  <si>
    <t>IEC 61508-7, C.5.24; IEC 61508-3, Abschnitt 6 und Tabelle A.8</t>
  </si>
  <si>
    <t>Datenaufzeichnung und Analyse</t>
  </si>
  <si>
    <t>C.5.2</t>
  </si>
  <si>
    <t>Alle für die Änderung relevanten Daten, Entscheidungen, Begründungen, Probleme, Korrekturen und Testergebnisse werden fortlaufend aufgezeichnet. Diese Aufzeichnungen ermöglichen spätere Verifikation, Validierung, Beurteilung und Wartung, auch wenn die ursprünglichen Bearbeiter nicht mehr verfügbar sind. Der Änderungsdatensatz muss vollständig, versionsbezogen, prüfbar und mit den betroffenen Konfigurationselementen verknüpft sein.</t>
  </si>
  <si>
    <t>IEC 61508-7, C.5.2; IEC 61508-3, 7.8.2.4, 7.8.2.8 und 7.8.2.9</t>
  </si>
  <si>
    <t>Vorwärtsverfolgbarkeit von der Spezifikation der Anforderungen an die Sicherheit der Software zum Plan der Softwaremodifikation (einschließlich Neuverifikation und Neuvalidierung)</t>
  </si>
  <si>
    <t>C.2.11</t>
  </si>
  <si>
    <t>Die Vorwärtsverfolgbarkeit zeigt, dass jede betroffene Software-Sicherheitsanforderung im Modifikationsplan durch geeignete Änderungs-, Neuverifikations- und Neuvalidierungstätigkeiten berücksichtigt wird. Dadurch werden unbehandelte Anforderungen und fehlende Regressionstests sichtbar. Die Zuordnung muss von der Anforderung über die Änderungsentscheidung bis zu Testfall, Ergebnis und Freigabe reichen.</t>
  </si>
  <si>
    <t>IEC 61508-7, C.2.11; IEC 61508-3, Tabelle A.8</t>
  </si>
  <si>
    <t>Rückwärtsverfolgbarkeit vom Plan der Softwaremodifikation (einschließlich Neuverifikation und Neuvalidierung) zur Spezifikation der Anforderungen an die Sicherheit der Software</t>
  </si>
  <si>
    <t>Die Rückwärtsverfolgbarkeit belegt, dass jede Tätigkeit des Modifikationsplans durch eine Sicherheitsanforderung, einen Befund der Einflussanalyse oder eine notwendige Wiederholung des Lebenszyklus begründet ist. Nicht begründete Änderungen oder Tests müssen geklärt werden, weil sie auf unkontrollierte Funktionsausweitung oder unvollständige Anforderungen hindeuten können. Im Review ist die Verknüpfung bis zur freigegebenen Änderungsanforderung und zur betroffenen Baseline zu prüfen.</t>
  </si>
  <si>
    <t>Legende und Anwendungshinweise</t>
  </si>
  <si>
    <t>Empfehlungsgrade nach IEC 61508</t>
  </si>
  <si>
    <t>Kennzeichen</t>
  </si>
  <si>
    <t>Bedeutung</t>
  </si>
  <si>
    <t>Anwendung im Review</t>
  </si>
  <si>
    <t>Geltungsbereich</t>
  </si>
  <si>
    <t>Für diesen SIL besonders empfohlen</t>
  </si>
  <si>
    <t>Bevorzugt anzuwenden; Nichtanwendung nachvollziehbar begründen.</t>
  </si>
  <si>
    <t>SIL 1 bis SIL 3 gemäß Tabelle A.9</t>
  </si>
  <si>
    <t>Für diesen SIL empfohlen</t>
  </si>
  <si>
    <t>Anwendung einplanen oder eine geeignete Alternative begründen.</t>
  </si>
  <si>
    <t>Keine Empfehlung für oder gegen die Anwendung</t>
  </si>
  <si>
    <t>Einsatz projektspezifisch bewerten und dokumentieren.</t>
  </si>
  <si>
    <t>--</t>
  </si>
  <si>
    <t>Für diesen SIL nicht empfohlen</t>
  </si>
  <si>
    <t>Nur mit belastbarer Begründung und geeigneten zusätzlichen Maßnahmen einsetzen.</t>
  </si>
  <si>
    <t>Arbeitsweise</t>
  </si>
  <si>
    <t>Schritt</t>
  </si>
  <si>
    <t>Vorgehen</t>
  </si>
  <si>
    <t>Dokumentation</t>
  </si>
  <si>
    <t>Hinweis</t>
  </si>
  <si>
    <t>Reviewdaten auf dem Blatt „Übersicht“ ausfüllen.</t>
  </si>
  <si>
    <t>Projekt, Dokument, SIL, Teilnehmer und Termin erfassen.</t>
  </si>
  <si>
    <t>Gelbe Zellen sind Eingabefelder.</t>
  </si>
  <si>
    <t>Eingabe- und Ausgabedokumente registrieren.</t>
  </si>
  <si>
    <t>Dokumentkennung, Version, Status, Verantwortlichen und Ablageort eintragen.</t>
  </si>
  <si>
    <t>Die IDs D01 bis D22 sind für Kapitel 7.8 vorbereitet.</t>
  </si>
  <si>
    <t>Jede Prüffrage auf dem Blatt „Review 7.8“ bewerten.</t>
  </si>
  <si>
    <t>Prüfergebnis konkret formulieren und die zugehörigen Dokument-IDs prüfen.</t>
  </si>
  <si>
    <t>Status / OK über das Auswahlfeld setzen.</t>
  </si>
  <si>
    <t>Abweichungen oder Beschlüsse auf „Maßnahmen“ übernehmen.</t>
  </si>
  <si>
    <t>Prüfpunkt, Verantwortlichen, Fälligkeit und Status eintragen.</t>
  </si>
  <si>
    <t>IDs M-01 bis M-20 sind vorbereitet.</t>
  </si>
  <si>
    <t>Verfahren aus „Anhang A.8“ SIL-bezogen berücksichtigen.</t>
  </si>
  <si>
    <t>Erläuterungen und Normreferenzen als Prüfhilfe verwenden.</t>
  </si>
  <si>
    <t>SIL 4 ist nicht Bestandteil dieser Arbeitsmappe.</t>
  </si>
  <si>
    <t>Gesamtergebnis auf „Übersicht“ festlegen.</t>
  </si>
  <si>
    <t>Ergebnis, Begründung und Zusammenfassung eintragen.</t>
  </si>
  <si>
    <t>Fortschrittskennzahlen werden automatisch berechnet.</t>
  </si>
  <si>
    <t>Teilnehmer auf „Unterschriften“ dokumentieren.</t>
  </si>
  <si>
    <t>Name, Funktion, Datum und Bestätigung eintragen.</t>
  </si>
  <si>
    <t>Kann digital oder nach Ausdruck verwendet werden.</t>
  </si>
  <si>
    <t>Quelle: IEC61508-3_Kap_7.8_Reviewprotokoll_Endfassung_2026-08-05.docx</t>
  </si>
  <si>
    <t>Anhang Formblatt Unterschriften</t>
  </si>
  <si>
    <t>Name, Vorname, Abteilung, Funktion</t>
  </si>
  <si>
    <t>Datum</t>
  </si>
  <si>
    <t>Unterschrift / Bestätigung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</si>
</sst>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1"/>
      <name val="Carlito"/>
    </font>
    <font>
      <sz val="10"/>
      <color rgb="FF222222"/>
      <name val="Aptos"/>
    </font>
    <font>
      <b/>
      <sz val="18"/>
      <color rgb="FFFFFFFF"/>
      <name val="Aptos Display"/>
    </font>
    <font>
      <i/>
      <sz val="10"/>
      <color rgb="FF17365D"/>
      <name val="Aptos"/>
    </font>
    <font>
      <b/>
      <sz val="11"/>
      <color rgb="FFFFFFFF"/>
      <name val="Aptos"/>
    </font>
    <font>
      <b/>
      <sz val="10"/>
      <color rgb="FF17365D"/>
      <name val="Aptos"/>
    </font>
    <font>
      <b/>
      <sz val="10"/>
      <color rgb="FFFFFFFF"/>
      <name val="Aptos"/>
    </font>
    <font>
      <b/>
      <sz val="14"/>
      <color rgb="FF17365D"/>
      <name val="Aptos"/>
    </font>
    <font>
      <b/>
      <sz val="11"/>
      <color rgb="FF17365D"/>
      <name val="Aptos"/>
    </font>
    <font>
      <b/>
      <sz val="12"/>
      <color rgb="FF17365D"/>
      <name val="Aptos"/>
    </font>
    <font>
      <i/>
      <sz val="9"/>
      <color rgb="FF595959"/>
      <name val="Aptos"/>
    </font>
    <font>
      <sz val="11"/>
      <name val="Carlito"/>
    </font>
  </fonts>
  <fills count="13">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EAF3F8"/>
      </patternFill>
    </fill>
    <fill>
      <patternFill patternType="solid">
        <fgColor rgb="FFFFF2CC"/>
      </patternFill>
    </fill>
    <fill>
      <patternFill patternType="solid">
        <fgColor rgb="FF5B9BD5"/>
      </patternFill>
    </fill>
    <fill>
      <patternFill patternType="solid">
        <fgColor rgb="FFFFFFFF"/>
      </patternFill>
    </fill>
    <fill>
      <patternFill patternType="solid">
        <fgColor rgb="FFE7E6E6"/>
      </patternFill>
    </fill>
    <fill>
      <patternFill patternType="solid">
        <fgColor rgb="FFFFFFFF"/>
      </patternFill>
    </fill>
    <fill>
      <patternFill patternType="solid">
        <fgColor rgb="FFFFF2CC"/>
      </patternFill>
    </fill>
    <fill>
      <patternFill patternType="solid">
        <fgColor rgb="FFEAF3F8"/>
      </patternFill>
    </fill>
  </fills>
  <borders count="3">
    <border>
      <left/>
      <right/>
      <top/>
      <bottom/>
      <diagonal/>
    </border>
    <border>
      <left style="thin">
        <color rgb="FFB4C6D7"/>
      </left>
      <right style="thin">
        <color rgb="FFB4C6D7"/>
      </right>
      <top style="thin">
        <color rgb="FFB4C6D7"/>
      </top>
      <bottom style="thin">
        <color rgb="FFB4C6D7"/>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1" fillId="0" borderId="0"/>
  </cellStyleXfs>
  <cellXfs count="30">
    <xf numFmtId="0" fontId="0" fillId="0" borderId="0" xfId="0"/>
    <xf numFmtId="0" fontId="1" fillId="0" borderId="0" xfId="1" applyFont="1" applyAlignment="1">
      <alignment vertical="top"/>
    </xf>
    <xf numFmtId="0" fontId="5" fillId="5" borderId="1" xfId="1" applyFont="1" applyFill="1" applyBorder="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6" fillId="7" borderId="2" xfId="1" applyFont="1" applyFill="1" applyBorder="1" applyAlignment="1">
      <alignment horizontal="center" vertical="center"/>
    </xf>
    <xf numFmtId="0" fontId="7" fillId="5" borderId="1" xfId="1" applyFont="1" applyFill="1" applyBorder="1" applyAlignment="1">
      <alignment horizontal="center" vertical="center"/>
    </xf>
    <xf numFmtId="9" fontId="7" fillId="5" borderId="1" xfId="1" applyNumberFormat="1" applyFont="1" applyFill="1" applyBorder="1" applyAlignment="1">
      <alignment horizontal="center" vertical="center"/>
    </xf>
    <xf numFmtId="0" fontId="4" fillId="4" borderId="2" xfId="1" applyFont="1" applyFill="1" applyBorder="1" applyAlignment="1">
      <alignment vertical="center"/>
    </xf>
    <xf numFmtId="0" fontId="1" fillId="0" borderId="0" xfId="1" applyFont="1" applyAlignment="1">
      <alignment vertical="top" wrapText="1"/>
    </xf>
    <xf numFmtId="0" fontId="1" fillId="0" borderId="1" xfId="1" applyFont="1" applyBorder="1" applyAlignment="1">
      <alignment vertical="top" wrapText="1"/>
    </xf>
    <xf numFmtId="0" fontId="1" fillId="5" borderId="1" xfId="1" applyFont="1" applyFill="1" applyBorder="1" applyAlignment="1">
      <alignment vertical="top" wrapText="1"/>
    </xf>
    <xf numFmtId="0" fontId="1" fillId="8" borderId="1" xfId="1" applyFont="1" applyFill="1" applyBorder="1" applyAlignment="1">
      <alignment horizontal="center" vertical="top" wrapText="1"/>
    </xf>
    <xf numFmtId="0" fontId="8" fillId="5" borderId="1" xfId="1" applyFont="1" applyFill="1" applyBorder="1" applyAlignment="1">
      <alignment horizontal="center" vertical="center"/>
    </xf>
    <xf numFmtId="0" fontId="1" fillId="8" borderId="1" xfId="1" applyFont="1" applyFill="1" applyBorder="1" applyAlignment="1">
      <alignment horizontal="left" vertical="top" wrapText="1"/>
    </xf>
    <xf numFmtId="0" fontId="9" fillId="0" borderId="0" xfId="1" applyFont="1" applyAlignment="1">
      <alignment horizontal="center" vertical="top" wrapText="1"/>
    </xf>
    <xf numFmtId="0" fontId="1" fillId="10" borderId="1" xfId="1" applyFont="1" applyFill="1" applyBorder="1" applyAlignment="1">
      <alignment horizontal="center" vertical="top" wrapText="1"/>
    </xf>
    <xf numFmtId="0" fontId="1" fillId="10" borderId="1" xfId="1" applyFont="1" applyFill="1" applyBorder="1" applyAlignment="1">
      <alignment vertical="top" wrapText="1"/>
    </xf>
    <xf numFmtId="0" fontId="1" fillId="11" borderId="1" xfId="1" applyFont="1" applyFill="1" applyBorder="1" applyAlignment="1">
      <alignment vertical="top" wrapText="1"/>
    </xf>
    <xf numFmtId="0" fontId="1" fillId="12" borderId="1" xfId="1" applyFont="1" applyFill="1" applyBorder="1" applyAlignment="1">
      <alignment vertical="top" wrapText="1"/>
    </xf>
    <xf numFmtId="0" fontId="1" fillId="11" borderId="1" xfId="1" applyFont="1" applyFill="1" applyBorder="1" applyAlignment="1">
      <alignment horizontal="center" vertical="top" wrapText="1"/>
    </xf>
    <xf numFmtId="164" fontId="1" fillId="11" borderId="1" xfId="1" applyNumberFormat="1" applyFont="1" applyFill="1" applyBorder="1" applyAlignment="1">
      <alignment vertical="top" wrapText="1"/>
    </xf>
    <xf numFmtId="0" fontId="2" fillId="2" borderId="0" xfId="1" applyFont="1" applyFill="1" applyAlignment="1">
      <alignment horizontal="left" vertical="center"/>
    </xf>
    <xf numFmtId="0" fontId="3" fillId="3" borderId="0" xfId="1" applyFont="1" applyFill="1" applyAlignment="1">
      <alignment vertical="center"/>
    </xf>
    <xf numFmtId="0" fontId="4" fillId="4" borderId="0" xfId="1" applyFont="1" applyFill="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3" fillId="3" borderId="0" xfId="1" applyFont="1" applyFill="1" applyAlignment="1">
      <alignment vertical="center" wrapText="1"/>
    </xf>
    <xf numFmtId="0" fontId="3" fillId="3" borderId="0" xfId="1" applyFont="1" applyFill="1" applyAlignment="1">
      <alignment vertical="top"/>
    </xf>
    <xf numFmtId="0" fontId="10" fillId="9" borderId="0" xfId="1" applyFont="1" applyFill="1" applyAlignment="1">
      <alignment vertical="top"/>
    </xf>
  </cellXfs>
  <cellStyles count="2">
    <cellStyle name="Normal" xfId="1" xr:uid="{00000000-0005-0000-0000-000000000000}"/>
    <cellStyle name="Standard" xfId="0" builtinId="0"/>
  </cellStyles>
  <dxfs count="12">
    <dxf>
      <font>
        <color rgb="FF9C0006"/>
      </font>
      <fill>
        <patternFill>
          <bgColor rgb="FFF4CCCC"/>
        </patternFill>
      </fill>
    </dxf>
    <dxf>
      <font>
        <b/>
        <color rgb="FF215E21"/>
      </font>
      <fill>
        <patternFill>
          <bgColor rgb="FFC6E0B4"/>
        </patternFill>
      </fill>
    </dxf>
    <dxf>
      <font>
        <color rgb="FF9C0006"/>
      </font>
      <fill>
        <patternFill>
          <bgColor rgb="FFF4CCCC"/>
        </patternFill>
      </fill>
    </dxf>
    <dxf>
      <font>
        <b/>
        <color rgb="FF215E21"/>
      </font>
      <fill>
        <patternFill>
          <bgColor rgb="FFC6E0B4"/>
        </patternFill>
      </fill>
    </dxf>
    <dxf>
      <font>
        <b/>
        <color rgb="FF17365D"/>
      </font>
      <fill>
        <patternFill>
          <bgColor rgb="FFD9EAF7"/>
        </patternFill>
      </fill>
    </dxf>
    <dxf>
      <font>
        <b/>
        <color rgb="FF5F497A"/>
      </font>
      <fill>
        <patternFill>
          <bgColor rgb="FFE4DFEC"/>
        </patternFill>
      </fill>
    </dxf>
    <dxf>
      <font>
        <b/>
        <color rgb="FF215E21"/>
      </font>
      <fill>
        <patternFill>
          <bgColor rgb="FFC6E0B4"/>
        </patternFill>
      </fill>
    </dxf>
    <dxf>
      <font>
        <b/>
        <color rgb="FF17365D"/>
      </font>
      <fill>
        <patternFill>
          <bgColor rgb="FFD9EAF7"/>
        </patternFill>
      </fill>
    </dxf>
    <dxf>
      <font>
        <color rgb="FF17365D"/>
      </font>
      <fill>
        <patternFill>
          <bgColor rgb="FFD9EAF7"/>
        </patternFill>
      </fill>
    </dxf>
    <dxf>
      <font>
        <color rgb="FF595959"/>
      </font>
      <fill>
        <patternFill>
          <bgColor rgb="FFE7E6E6"/>
        </patternFill>
      </fill>
    </dxf>
    <dxf>
      <font>
        <b/>
        <color rgb="FF9C0006"/>
      </font>
      <fill>
        <patternFill>
          <bgColor rgb="FFF4CCCC"/>
        </patternFill>
      </fill>
    </dxf>
    <dxf>
      <font>
        <b/>
        <color rgb="FF215E21"/>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Reviewpunkte_7_8" displayName="Reviewpunkte_7_8" ref="A7:G18" totalsRowShown="0">
  <autoFilter ref="A7:G18" xr:uid="{00000000-0009-0000-0100-000008000000}"/>
  <tableColumns count="7">
    <tableColumn id="1" xr3:uid="{00000000-0010-0000-0000-000001000000}" name="Nr."/>
    <tableColumn id="2" xr3:uid="{00000000-0010-0000-0000-000002000000}" name="Normkapitel"/>
    <tableColumn id="3" xr3:uid="{00000000-0010-0000-0000-000003000000}" name="Prüffrage"/>
    <tableColumn id="4" xr3:uid="{00000000-0010-0000-0000-000004000000}" name="Prüfergebnis"/>
    <tableColumn id="5" xr3:uid="{00000000-0010-0000-0000-000005000000}" name="Kommentar / Nachweis"/>
    <tableColumn id="6" xr3:uid="{00000000-0010-0000-0000-000006000000}" name="E/A-Dokumente (IDs)"/>
    <tableColumn id="7" xr3:uid="{00000000-0010-0000-0000-000007000000}" name="Status / 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Dokumentenregister_7_8" displayName="Dokumentenregister_7_8" ref="A7:K29" totalsRowShown="0">
  <autoFilter ref="A7:K29" xr:uid="{00000000-0009-0000-0100-000009000000}"/>
  <tableColumns count="11">
    <tableColumn id="1" xr3:uid="{00000000-0010-0000-0100-000001000000}" name="ID"/>
    <tableColumn id="2" xr3:uid="{00000000-0010-0000-0100-000002000000}" name="Art"/>
    <tableColumn id="3" xr3:uid="{00000000-0010-0000-0100-000003000000}" name="Normbegriff / Dokument"/>
    <tableColumn id="4" xr3:uid="{00000000-0010-0000-0100-000004000000}" name="Funktion / erwarteter Inhalt"/>
    <tableColumn id="5" xr3:uid="{00000000-0010-0000-0100-000005000000}" name="Bezug Prüfpunkt"/>
    <tableColumn id="6" xr3:uid="{00000000-0010-0000-0100-000006000000}" name="Normreferenz"/>
    <tableColumn id="7" xr3:uid="{00000000-0010-0000-0100-000007000000}" name="Dokumentkennung / Referenz"/>
    <tableColumn id="8" xr3:uid="{00000000-0010-0000-0100-000008000000}" name="Version / Index"/>
    <tableColumn id="9" xr3:uid="{00000000-0010-0000-0100-000009000000}" name="Status"/>
    <tableColumn id="10" xr3:uid="{00000000-0010-0000-0100-00000A000000}" name="Verantwortlich"/>
    <tableColumn id="11" xr3:uid="{00000000-0010-0000-0100-00000B000000}" name="Ablageort / 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Massnahmen" displayName="ReviewMassnahmen" ref="A5:G25" totalsRowShown="0">
  <autoFilter ref="A5:G25" xr:uid="{00000000-0009-0000-0100-000003000000}"/>
  <tableColumns count="7">
    <tableColumn id="1" xr3:uid="{00000000-0010-0000-0200-000001000000}" name="ID"/>
    <tableColumn id="2" xr3:uid="{00000000-0010-0000-0200-000002000000}" name="Typ"/>
    <tableColumn id="3" xr3:uid="{00000000-0010-0000-0200-000003000000}" name="Review-Ergebnis / Maßnahme"/>
    <tableColumn id="4" xr3:uid="{00000000-0010-0000-0200-000004000000}" name="Bezug Prüfpunkt"/>
    <tableColumn id="5" xr3:uid="{00000000-0010-0000-0200-000005000000}" name="Verantwortlich"/>
    <tableColumn id="6" xr3:uid="{00000000-0010-0000-0200-000006000000}" name="Fällig am"/>
    <tableColumn id="7" xr3:uid="{00000000-0010-0000-0200-000007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Anhang_A8" displayName="Anhang_A8" ref="A5:H14" totalsRowShown="0">
  <autoFilter ref="A5:H14" xr:uid="{00000000-0009-0000-0100-00000A000000}"/>
  <tableColumns count="8">
    <tableColumn id="1" xr3:uid="{00000000-0010-0000-0300-000001000000}" name="Nr."/>
    <tableColumn id="2" xr3:uid="{00000000-0010-0000-0300-000002000000}" name="Verfahren / Maßnahme"/>
    <tableColumn id="3" xr3:uid="{00000000-0010-0000-0300-000003000000}" name="Siehe"/>
    <tableColumn id="4" xr3:uid="{00000000-0010-0000-0300-000004000000}" name="SIL 1"/>
    <tableColumn id="5" xr3:uid="{00000000-0010-0000-0300-000005000000}" name="SIL 2"/>
    <tableColumn id="6" xr3:uid="{00000000-0010-0000-0300-000006000000}" name="SIL 3"/>
    <tableColumn id="7" xr3:uid="{00000000-0010-0000-0300-000007000000}" name="Erläuterung"/>
    <tableColumn id="8" xr3:uid="{00000000-0010-0000-0300-000008000000}" name="Normreferenz"/>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mpfehlungslegende" displayName="Empfehlungslegende" ref="A5:D9" totalsRowShown="0">
  <tableColumns count="4">
    <tableColumn id="1" xr3:uid="{00000000-0010-0000-0400-000001000000}" name="Kennzeichen"/>
    <tableColumn id="2" xr3:uid="{00000000-0010-0000-0400-000002000000}" name="Bedeutung"/>
    <tableColumn id="3" xr3:uid="{00000000-0010-0000-0400-000003000000}" name="Anwendung im Review"/>
    <tableColumn id="4" xr3:uid="{00000000-0010-0000-0400-000004000000}" name="Geltungsbereic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beitsweise" displayName="Arbeitsweise" ref="A12:D19" totalsRowShown="0">
  <tableColumns count="4">
    <tableColumn id="1" xr3:uid="{00000000-0010-0000-0500-000001000000}" name="Schritt"/>
    <tableColumn id="2" xr3:uid="{00000000-0010-0000-0500-000002000000}" name="Vorgehen"/>
    <tableColumn id="3" xr3:uid="{00000000-0010-0000-0500-000003000000}" name="Dokumentation"/>
    <tableColumn id="4" xr3:uid="{00000000-0010-0000-0500-000004000000}" name="Hinwei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ReviewUnterschriften_7_8" displayName="ReviewUnterschriften_7_8" ref="A4:C11" totalsRowShown="0">
  <tableColumns count="3">
    <tableColumn id="1" xr3:uid="{00000000-0010-0000-0600-000001000000}" name="Name, Vorname, Abteilung, Funktion"/>
    <tableColumn id="2" xr3:uid="{00000000-0010-0000-0600-000002000000}" name="Datum"/>
    <tableColumn id="3" xr3:uid="{00000000-0010-0000-0600-000003000000}" name="Unterschrift / Bestätigu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showGridLines="0" workbookViewId="0">
      <selection activeCell="C21" sqref="C21"/>
    </sheetView>
  </sheetViews>
  <sheetFormatPr baseColWidth="10" defaultColWidth="9" defaultRowHeight="14.25"/>
  <cols>
    <col min="1" max="1" width="22" customWidth="1"/>
    <col min="2" max="4" width="14" customWidth="1"/>
    <col min="5" max="5" width="19" customWidth="1"/>
    <col min="6" max="8" width="14" customWidth="1"/>
  </cols>
  <sheetData>
    <row r="1" spans="1:8" ht="33.950000000000003" customHeight="1">
      <c r="A1" s="22" t="s">
        <v>0</v>
      </c>
      <c r="B1" s="22" t="s">
        <v>0</v>
      </c>
      <c r="C1" s="22" t="s">
        <v>0</v>
      </c>
      <c r="D1" s="22" t="s">
        <v>0</v>
      </c>
      <c r="E1" s="22" t="s">
        <v>0</v>
      </c>
      <c r="F1" s="22" t="s">
        <v>0</v>
      </c>
      <c r="G1" s="22" t="s">
        <v>0</v>
      </c>
      <c r="H1" s="22" t="s">
        <v>0</v>
      </c>
    </row>
    <row r="2" spans="1:8" ht="33.950000000000003" customHeight="1">
      <c r="A2" s="22" t="s">
        <v>0</v>
      </c>
      <c r="B2" s="22" t="s">
        <v>0</v>
      </c>
      <c r="C2" s="22" t="s">
        <v>0</v>
      </c>
      <c r="D2" s="22" t="s">
        <v>0</v>
      </c>
      <c r="E2" s="22" t="s">
        <v>0</v>
      </c>
      <c r="F2" s="22" t="s">
        <v>0</v>
      </c>
      <c r="G2" s="22" t="s">
        <v>0</v>
      </c>
      <c r="H2" s="22" t="s">
        <v>0</v>
      </c>
    </row>
    <row r="3" spans="1:8">
      <c r="A3" s="23" t="s">
        <v>1</v>
      </c>
      <c r="B3" s="23"/>
      <c r="C3" s="23"/>
      <c r="D3" s="23"/>
      <c r="E3" s="23"/>
      <c r="F3" s="23"/>
      <c r="G3" s="23"/>
      <c r="H3" s="23"/>
    </row>
    <row r="4" spans="1:8">
      <c r="A4" s="1"/>
      <c r="B4" s="1"/>
      <c r="C4" s="1"/>
      <c r="D4" s="1"/>
      <c r="E4" s="1"/>
      <c r="F4" s="1"/>
      <c r="G4" s="1"/>
      <c r="H4" s="1"/>
    </row>
    <row r="5" spans="1:8" ht="24" customHeight="1">
      <c r="A5" s="24" t="s">
        <v>2</v>
      </c>
      <c r="B5" s="24" t="s">
        <v>2</v>
      </c>
      <c r="C5" s="24" t="s">
        <v>2</v>
      </c>
      <c r="D5" s="24" t="s">
        <v>2</v>
      </c>
      <c r="E5" s="24" t="s">
        <v>2</v>
      </c>
      <c r="F5" s="24" t="s">
        <v>2</v>
      </c>
      <c r="G5" s="24" t="s">
        <v>2</v>
      </c>
      <c r="H5" s="24" t="s">
        <v>2</v>
      </c>
    </row>
    <row r="6" spans="1:8">
      <c r="A6" s="2" t="s">
        <v>3</v>
      </c>
      <c r="B6" s="25"/>
      <c r="C6" s="25"/>
      <c r="D6" s="25"/>
      <c r="E6" s="2" t="s">
        <v>4</v>
      </c>
      <c r="F6" s="25"/>
      <c r="G6" s="25"/>
      <c r="H6" s="25"/>
    </row>
    <row r="7" spans="1:8">
      <c r="A7" s="2" t="s">
        <v>5</v>
      </c>
      <c r="B7" s="25"/>
      <c r="C7" s="25"/>
      <c r="D7" s="25"/>
      <c r="E7" s="2" t="s">
        <v>6</v>
      </c>
      <c r="F7" s="25"/>
      <c r="G7" s="25"/>
      <c r="H7" s="25"/>
    </row>
    <row r="8" spans="1:8">
      <c r="A8" s="2" t="s">
        <v>7</v>
      </c>
      <c r="B8" s="25"/>
      <c r="C8" s="25"/>
      <c r="D8" s="25"/>
      <c r="E8" s="2" t="s">
        <v>8</v>
      </c>
      <c r="F8" s="25" t="s">
        <v>9</v>
      </c>
      <c r="G8" s="25" t="s">
        <v>9</v>
      </c>
      <c r="H8" s="25" t="s">
        <v>9</v>
      </c>
    </row>
    <row r="9" spans="1:8">
      <c r="A9" s="2" t="s">
        <v>10</v>
      </c>
      <c r="B9" s="25"/>
      <c r="C9" s="25"/>
      <c r="D9" s="25"/>
      <c r="E9" s="2" t="s">
        <v>11</v>
      </c>
      <c r="F9" s="26"/>
      <c r="G9" s="26"/>
      <c r="H9" s="26"/>
    </row>
    <row r="10" spans="1:8">
      <c r="A10" s="2" t="s">
        <v>12</v>
      </c>
      <c r="B10" s="25"/>
      <c r="C10" s="25"/>
      <c r="D10" s="25"/>
      <c r="E10" s="2" t="s">
        <v>13</v>
      </c>
      <c r="F10" s="25"/>
      <c r="G10" s="25"/>
      <c r="H10" s="25"/>
    </row>
    <row r="11" spans="1:8">
      <c r="A11" s="1"/>
      <c r="B11" s="1"/>
      <c r="C11" s="1"/>
      <c r="D11" s="1"/>
      <c r="E11" s="1"/>
      <c r="F11" s="1"/>
      <c r="G11" s="1"/>
      <c r="H11" s="1"/>
    </row>
    <row r="12" spans="1:8" ht="24" customHeight="1">
      <c r="A12" s="24" t="s">
        <v>14</v>
      </c>
      <c r="B12" s="24" t="s">
        <v>14</v>
      </c>
      <c r="C12" s="24" t="s">
        <v>14</v>
      </c>
      <c r="D12" s="24" t="s">
        <v>14</v>
      </c>
      <c r="E12" s="24" t="s">
        <v>14</v>
      </c>
      <c r="F12" s="24" t="s">
        <v>14</v>
      </c>
      <c r="G12" s="24" t="s">
        <v>14</v>
      </c>
      <c r="H12" s="24" t="s">
        <v>14</v>
      </c>
    </row>
    <row r="13" spans="1:8">
      <c r="A13" s="2" t="s">
        <v>15</v>
      </c>
      <c r="B13" s="25"/>
      <c r="C13" s="25"/>
      <c r="D13" s="25"/>
      <c r="E13" s="25"/>
      <c r="F13" s="25"/>
      <c r="G13" s="25"/>
      <c r="H13" s="25"/>
    </row>
    <row r="14" spans="1:8">
      <c r="A14" s="2" t="s">
        <v>16</v>
      </c>
      <c r="B14" s="25"/>
      <c r="C14" s="25"/>
      <c r="D14" s="25"/>
      <c r="E14" s="25"/>
      <c r="F14" s="25"/>
      <c r="G14" s="25"/>
      <c r="H14" s="25"/>
    </row>
    <row r="15" spans="1:8">
      <c r="A15" s="2" t="s">
        <v>17</v>
      </c>
      <c r="B15" s="25"/>
      <c r="C15" s="25"/>
      <c r="D15" s="25"/>
      <c r="E15" s="25"/>
      <c r="F15" s="25"/>
      <c r="G15" s="25"/>
      <c r="H15" s="25"/>
    </row>
    <row r="16" spans="1:8">
      <c r="A16" s="2" t="s">
        <v>18</v>
      </c>
      <c r="B16" s="25"/>
      <c r="C16" s="25"/>
      <c r="D16" s="25"/>
      <c r="E16" s="25"/>
      <c r="F16" s="25"/>
      <c r="G16" s="25"/>
      <c r="H16" s="25"/>
    </row>
    <row r="17" spans="1:8">
      <c r="A17" s="1"/>
      <c r="B17" s="1"/>
      <c r="C17" s="1"/>
      <c r="D17" s="1"/>
      <c r="E17" s="1"/>
      <c r="F17" s="1"/>
      <c r="G17" s="1"/>
      <c r="H17" s="1"/>
    </row>
    <row r="18" spans="1:8" ht="24" customHeight="1">
      <c r="A18" s="24" t="s">
        <v>19</v>
      </c>
      <c r="B18" s="24" t="s">
        <v>19</v>
      </c>
      <c r="C18" s="24" t="s">
        <v>19</v>
      </c>
      <c r="D18" s="24" t="s">
        <v>19</v>
      </c>
      <c r="E18" s="24" t="s">
        <v>19</v>
      </c>
      <c r="F18" s="24" t="s">
        <v>19</v>
      </c>
      <c r="G18" s="24" t="s">
        <v>19</v>
      </c>
      <c r="H18" s="24" t="s">
        <v>19</v>
      </c>
    </row>
    <row r="19" spans="1:8">
      <c r="A19" s="5" t="s">
        <v>20</v>
      </c>
      <c r="B19" s="5"/>
      <c r="C19" s="5" t="s">
        <v>21</v>
      </c>
      <c r="D19" s="5"/>
      <c r="E19" s="5" t="s">
        <v>22</v>
      </c>
      <c r="F19" s="5"/>
      <c r="G19" s="5" t="s">
        <v>23</v>
      </c>
      <c r="H19" s="5" t="s">
        <v>24</v>
      </c>
    </row>
    <row r="20" spans="1:8" ht="18.75">
      <c r="A20" s="6">
        <f>COUNTA('Review 7.8'!B8:B18)</f>
        <v>11</v>
      </c>
      <c r="B20" s="6"/>
      <c r="C20" s="6">
        <f>COUNTIF('Review 7.8'!G8:G18,"OK")</f>
        <v>0</v>
      </c>
      <c r="D20" s="6"/>
      <c r="E20" s="6">
        <f>COUNTIF('Review 7.8'!G8:G18,"Nicht OK")</f>
        <v>0</v>
      </c>
      <c r="F20" s="6"/>
      <c r="G20" s="6">
        <f>COUNTIF('Review 7.8'!G8:G18,"Nicht geprüft")</f>
        <v>11</v>
      </c>
      <c r="H20" s="7">
        <f>IF(A20=0,0,(C20+COUNTIF('Review 7.8'!G8:G18,"n. a."))/A20)</f>
        <v>0</v>
      </c>
    </row>
    <row r="21" spans="1:8">
      <c r="A21" s="1"/>
      <c r="B21" s="1"/>
      <c r="C21" s="1"/>
      <c r="D21" s="1"/>
      <c r="E21" s="1"/>
      <c r="F21" s="1"/>
      <c r="G21" s="1"/>
      <c r="H21" s="1"/>
    </row>
    <row r="22" spans="1:8">
      <c r="A22" s="2" t="s">
        <v>25</v>
      </c>
      <c r="B22" s="25"/>
      <c r="C22" s="25"/>
      <c r="D22" s="25"/>
      <c r="E22" s="25"/>
      <c r="F22" s="25"/>
      <c r="G22" s="25"/>
      <c r="H22" s="25"/>
    </row>
    <row r="23" spans="1:8" ht="27.95" customHeight="1">
      <c r="A23" s="2" t="s">
        <v>26</v>
      </c>
      <c r="B23" s="25"/>
      <c r="C23" s="25"/>
      <c r="D23" s="25"/>
      <c r="E23" s="25"/>
      <c r="F23" s="25"/>
      <c r="G23" s="25"/>
      <c r="H23" s="25"/>
    </row>
    <row r="24" spans="1:8" ht="27.95" customHeight="1">
      <c r="A24" s="1"/>
      <c r="B24" s="25"/>
      <c r="C24" s="25"/>
      <c r="D24" s="25"/>
      <c r="E24" s="25"/>
      <c r="F24" s="25"/>
      <c r="G24" s="25"/>
      <c r="H24" s="25"/>
    </row>
    <row r="25" spans="1:8" ht="27.95" customHeight="1">
      <c r="A25" s="1"/>
      <c r="B25" s="25"/>
      <c r="C25" s="25"/>
      <c r="D25" s="25"/>
      <c r="E25" s="25"/>
      <c r="F25" s="25"/>
      <c r="G25" s="25"/>
      <c r="H25" s="25"/>
    </row>
    <row r="26" spans="1:8">
      <c r="A26" s="1"/>
      <c r="B26" s="1"/>
      <c r="C26" s="1"/>
      <c r="D26" s="1"/>
      <c r="E26" s="1"/>
      <c r="F26" s="1"/>
      <c r="G26" s="1"/>
      <c r="H26" s="1"/>
    </row>
    <row r="27" spans="1:8" ht="26.1" customHeight="1">
      <c r="A27" s="2" t="s">
        <v>27</v>
      </c>
      <c r="B27" s="25" t="s">
        <v>28</v>
      </c>
      <c r="C27" s="25" t="s">
        <v>28</v>
      </c>
      <c r="D27" s="25" t="s">
        <v>28</v>
      </c>
      <c r="E27" s="25" t="s">
        <v>28</v>
      </c>
      <c r="F27" s="25" t="s">
        <v>28</v>
      </c>
      <c r="G27" s="25" t="s">
        <v>28</v>
      </c>
      <c r="H27" s="25" t="s">
        <v>28</v>
      </c>
    </row>
    <row r="28" spans="1:8" ht="26.1" customHeight="1">
      <c r="A28" s="1"/>
      <c r="B28" s="25" t="s">
        <v>28</v>
      </c>
      <c r="C28" s="25" t="s">
        <v>28</v>
      </c>
      <c r="D28" s="25" t="s">
        <v>28</v>
      </c>
      <c r="E28" s="25" t="s">
        <v>28</v>
      </c>
      <c r="F28" s="25" t="s">
        <v>28</v>
      </c>
      <c r="G28" s="25" t="s">
        <v>28</v>
      </c>
      <c r="H28" s="25" t="s">
        <v>28</v>
      </c>
    </row>
    <row r="29" spans="1:8" ht="26.1" customHeight="1">
      <c r="A29" s="1"/>
      <c r="B29" s="25" t="s">
        <v>28</v>
      </c>
      <c r="C29" s="25" t="s">
        <v>28</v>
      </c>
      <c r="D29" s="25" t="s">
        <v>28</v>
      </c>
      <c r="E29" s="25" t="s">
        <v>28</v>
      </c>
      <c r="F29" s="25" t="s">
        <v>28</v>
      </c>
      <c r="G29" s="25" t="s">
        <v>28</v>
      </c>
      <c r="H29" s="25" t="s">
        <v>28</v>
      </c>
    </row>
    <row r="30" spans="1:8" ht="26.1" customHeight="1">
      <c r="A30" s="1"/>
      <c r="B30" s="25" t="s">
        <v>28</v>
      </c>
      <c r="C30" s="25" t="s">
        <v>28</v>
      </c>
      <c r="D30" s="25" t="s">
        <v>28</v>
      </c>
      <c r="E30" s="25" t="s">
        <v>28</v>
      </c>
      <c r="F30" s="25" t="s">
        <v>28</v>
      </c>
      <c r="G30" s="25" t="s">
        <v>28</v>
      </c>
      <c r="H30" s="25" t="s">
        <v>28</v>
      </c>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sheetData>
  <mergeCells count="22">
    <mergeCell ref="B27:H30"/>
    <mergeCell ref="B15:H15"/>
    <mergeCell ref="B16:H16"/>
    <mergeCell ref="A18:H18"/>
    <mergeCell ref="B22:H22"/>
    <mergeCell ref="B23:H25"/>
    <mergeCell ref="B10:D10"/>
    <mergeCell ref="F10:H10"/>
    <mergeCell ref="A12:H12"/>
    <mergeCell ref="B13:H13"/>
    <mergeCell ref="B14:H14"/>
    <mergeCell ref="B7:D7"/>
    <mergeCell ref="F7:H7"/>
    <mergeCell ref="B8:D8"/>
    <mergeCell ref="F8:H8"/>
    <mergeCell ref="B9:D9"/>
    <mergeCell ref="F9:H9"/>
    <mergeCell ref="A1:H2"/>
    <mergeCell ref="A3:H3"/>
    <mergeCell ref="A5:H5"/>
    <mergeCell ref="B6:D6"/>
    <mergeCell ref="F6:H6"/>
  </mergeCells>
  <dataValidations count="2">
    <dataValidation type="list" sqref="B8:D8" xr:uid="{00000000-0002-0000-0000-000000000000}">
      <formula1>"SIL 1,SIL 2,SIL 3"</formula1>
    </dataValidation>
    <dataValidation type="list" sqref="B22:H22" xr:uid="{00000000-0002-0000-0000-000001000000}">
      <formula1>"Dokument muss überarbeitet werden und kann danach freigegeben werden,Dokument muss überarbeitet werden und danach einem Review unterzogen werden,Dokument kann zum externen Review vorgelegt werden,Dokument kann freigegeben werden"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showGridLines="0" workbookViewId="0">
      <pane ySplit="7" topLeftCell="A8" activePane="bottomLeft" state="frozen"/>
      <selection pane="bottomLeft" activeCell="D9" sqref="D9"/>
    </sheetView>
  </sheetViews>
  <sheetFormatPr baseColWidth="10" defaultColWidth="9" defaultRowHeight="14.25"/>
  <cols>
    <col min="1" max="1" width="8" customWidth="1"/>
    <col min="2" max="2" width="14" customWidth="1"/>
    <col min="3" max="3" width="72" customWidth="1"/>
    <col min="4" max="5" width="34" customWidth="1"/>
    <col min="6" max="6" width="25" customWidth="1"/>
    <col min="7" max="7" width="17" customWidth="1"/>
  </cols>
  <sheetData>
    <row r="1" spans="1:7" ht="33.950000000000003" customHeight="1">
      <c r="A1" s="22" t="s">
        <v>29</v>
      </c>
      <c r="B1" s="22" t="s">
        <v>29</v>
      </c>
      <c r="C1" s="22" t="s">
        <v>29</v>
      </c>
      <c r="D1" s="22" t="s">
        <v>29</v>
      </c>
      <c r="E1" s="22" t="s">
        <v>29</v>
      </c>
      <c r="F1" s="22" t="s">
        <v>29</v>
      </c>
      <c r="G1" s="22" t="s">
        <v>29</v>
      </c>
    </row>
    <row r="2" spans="1:7" ht="33.950000000000003" customHeight="1">
      <c r="A2" s="22" t="s">
        <v>29</v>
      </c>
      <c r="B2" s="22" t="s">
        <v>29</v>
      </c>
      <c r="C2" s="22" t="s">
        <v>29</v>
      </c>
      <c r="D2" s="22" t="s">
        <v>29</v>
      </c>
      <c r="E2" s="22" t="s">
        <v>29</v>
      </c>
      <c r="F2" s="22" t="s">
        <v>29</v>
      </c>
      <c r="G2" s="22" t="s">
        <v>29</v>
      </c>
    </row>
    <row r="3" spans="1:7">
      <c r="A3" s="27" t="s">
        <v>30</v>
      </c>
      <c r="B3" s="27"/>
      <c r="C3" s="27"/>
      <c r="D3" s="27"/>
      <c r="E3" s="27"/>
      <c r="F3" s="27"/>
      <c r="G3" s="27"/>
    </row>
    <row r="4" spans="1:7">
      <c r="A4" s="1"/>
      <c r="B4" s="1"/>
      <c r="C4" s="1"/>
      <c r="D4" s="1"/>
      <c r="E4" s="1"/>
      <c r="F4" s="1"/>
      <c r="G4" s="1"/>
    </row>
    <row r="5" spans="1:7" ht="15">
      <c r="A5" s="8" t="s">
        <v>31</v>
      </c>
      <c r="B5" s="8" t="s">
        <v>32</v>
      </c>
      <c r="C5" s="8" t="s">
        <v>33</v>
      </c>
      <c r="D5" s="8"/>
      <c r="E5" s="8"/>
      <c r="F5" s="8" t="s">
        <v>34</v>
      </c>
      <c r="G5" s="8" t="s">
        <v>35</v>
      </c>
    </row>
    <row r="6" spans="1:7">
      <c r="A6" s="1"/>
      <c r="B6" s="1"/>
      <c r="C6" s="1"/>
      <c r="D6" s="1"/>
      <c r="E6" s="1"/>
      <c r="F6" s="1"/>
      <c r="G6" s="1"/>
    </row>
    <row r="7" spans="1:7">
      <c r="A7" s="10" t="s">
        <v>36</v>
      </c>
      <c r="B7" s="10" t="s">
        <v>37</v>
      </c>
      <c r="C7" s="10" t="s">
        <v>38</v>
      </c>
      <c r="D7" s="10" t="s">
        <v>39</v>
      </c>
      <c r="E7" s="10" t="s">
        <v>40</v>
      </c>
      <c r="F7" s="10" t="s">
        <v>41</v>
      </c>
      <c r="G7" s="10" t="s">
        <v>35</v>
      </c>
    </row>
    <row r="8" spans="1:7" ht="72" customHeight="1">
      <c r="A8" s="16" t="s">
        <v>42</v>
      </c>
      <c r="B8" s="16" t="s">
        <v>43</v>
      </c>
      <c r="C8" s="17" t="s">
        <v>44</v>
      </c>
      <c r="D8" s="18"/>
      <c r="E8" s="18"/>
      <c r="F8" s="19" t="s">
        <v>45</v>
      </c>
      <c r="G8" s="20" t="s">
        <v>23</v>
      </c>
    </row>
    <row r="9" spans="1:7" ht="72" customHeight="1">
      <c r="A9" s="16" t="s">
        <v>46</v>
      </c>
      <c r="B9" s="16" t="s">
        <v>47</v>
      </c>
      <c r="C9" s="17" t="s">
        <v>48</v>
      </c>
      <c r="D9" s="18"/>
      <c r="E9" s="18"/>
      <c r="F9" s="19" t="s">
        <v>49</v>
      </c>
      <c r="G9" s="20" t="s">
        <v>23</v>
      </c>
    </row>
    <row r="10" spans="1:7" ht="123.95" customHeight="1">
      <c r="A10" s="16" t="s">
        <v>50</v>
      </c>
      <c r="B10" s="16" t="s">
        <v>51</v>
      </c>
      <c r="C10" s="17" t="s">
        <v>52</v>
      </c>
      <c r="D10" s="18"/>
      <c r="E10" s="18"/>
      <c r="F10" s="19" t="s">
        <v>53</v>
      </c>
      <c r="G10" s="20" t="s">
        <v>23</v>
      </c>
    </row>
    <row r="11" spans="1:7" ht="107.1" customHeight="1">
      <c r="A11" s="16" t="s">
        <v>54</v>
      </c>
      <c r="B11" s="16" t="s">
        <v>55</v>
      </c>
      <c r="C11" s="17" t="s">
        <v>56</v>
      </c>
      <c r="D11" s="18"/>
      <c r="E11" s="18"/>
      <c r="F11" s="19" t="s">
        <v>57</v>
      </c>
      <c r="G11" s="20" t="s">
        <v>23</v>
      </c>
    </row>
    <row r="12" spans="1:7" ht="72" customHeight="1">
      <c r="A12" s="16" t="s">
        <v>58</v>
      </c>
      <c r="B12" s="16" t="s">
        <v>59</v>
      </c>
      <c r="C12" s="17" t="s">
        <v>60</v>
      </c>
      <c r="D12" s="18"/>
      <c r="E12" s="18"/>
      <c r="F12" s="19" t="s">
        <v>61</v>
      </c>
      <c r="G12" s="20" t="s">
        <v>23</v>
      </c>
    </row>
    <row r="13" spans="1:7" ht="81" customHeight="1">
      <c r="A13" s="16" t="s">
        <v>62</v>
      </c>
      <c r="B13" s="16" t="s">
        <v>63</v>
      </c>
      <c r="C13" s="17" t="s">
        <v>64</v>
      </c>
      <c r="D13" s="18"/>
      <c r="E13" s="18"/>
      <c r="F13" s="19" t="s">
        <v>65</v>
      </c>
      <c r="G13" s="20" t="s">
        <v>23</v>
      </c>
    </row>
    <row r="14" spans="1:7" ht="149.1" customHeight="1">
      <c r="A14" s="16" t="s">
        <v>66</v>
      </c>
      <c r="B14" s="16" t="s">
        <v>67</v>
      </c>
      <c r="C14" s="17" t="s">
        <v>68</v>
      </c>
      <c r="D14" s="18"/>
      <c r="E14" s="18"/>
      <c r="F14" s="19" t="s">
        <v>69</v>
      </c>
      <c r="G14" s="20" t="s">
        <v>23</v>
      </c>
    </row>
    <row r="15" spans="1:7" ht="72" customHeight="1">
      <c r="A15" s="16" t="s">
        <v>70</v>
      </c>
      <c r="B15" s="16" t="s">
        <v>71</v>
      </c>
      <c r="C15" s="17" t="s">
        <v>72</v>
      </c>
      <c r="D15" s="18"/>
      <c r="E15" s="18"/>
      <c r="F15" s="19" t="s">
        <v>73</v>
      </c>
      <c r="G15" s="20" t="s">
        <v>23</v>
      </c>
    </row>
    <row r="16" spans="1:7" ht="165.95" customHeight="1">
      <c r="A16" s="16" t="s">
        <v>74</v>
      </c>
      <c r="B16" s="16" t="s">
        <v>75</v>
      </c>
      <c r="C16" s="17" t="s">
        <v>76</v>
      </c>
      <c r="D16" s="18"/>
      <c r="E16" s="18"/>
      <c r="F16" s="19" t="s">
        <v>77</v>
      </c>
      <c r="G16" s="20" t="s">
        <v>23</v>
      </c>
    </row>
    <row r="17" spans="1:7" ht="72" customHeight="1">
      <c r="A17" s="16" t="s">
        <v>78</v>
      </c>
      <c r="B17" s="16" t="s">
        <v>79</v>
      </c>
      <c r="C17" s="17" t="s">
        <v>80</v>
      </c>
      <c r="D17" s="18"/>
      <c r="E17" s="18"/>
      <c r="F17" s="19" t="s">
        <v>81</v>
      </c>
      <c r="G17" s="20" t="s">
        <v>23</v>
      </c>
    </row>
    <row r="18" spans="1:7" ht="72" customHeight="1">
      <c r="A18" s="16" t="s">
        <v>82</v>
      </c>
      <c r="B18" s="16" t="s">
        <v>83</v>
      </c>
      <c r="C18" s="17" t="s">
        <v>84</v>
      </c>
      <c r="D18" s="18"/>
      <c r="E18" s="18"/>
      <c r="F18" s="19" t="s">
        <v>85</v>
      </c>
      <c r="G18" s="20" t="s">
        <v>23</v>
      </c>
    </row>
    <row r="19" spans="1:7" ht="156.94999999999999" customHeight="1"/>
    <row r="20" spans="1:7" ht="123.95" customHeight="1"/>
    <row r="21" spans="1:7" ht="182.1" customHeight="1"/>
    <row r="22" spans="1:7" ht="72" customHeight="1"/>
    <row r="23" spans="1:7">
      <c r="A23" s="1"/>
      <c r="B23" s="1"/>
      <c r="C23" s="1"/>
      <c r="D23" s="1"/>
      <c r="E23" s="1"/>
      <c r="F23" s="1"/>
      <c r="G23" s="1"/>
    </row>
    <row r="24" spans="1:7">
      <c r="A24" s="1"/>
      <c r="B24" s="1"/>
      <c r="C24" s="1"/>
      <c r="D24" s="1"/>
      <c r="E24" s="1"/>
      <c r="F24" s="1"/>
      <c r="G24" s="1"/>
    </row>
    <row r="25" spans="1:7">
      <c r="A25" s="1"/>
      <c r="B25" s="1"/>
      <c r="C25" s="1"/>
      <c r="D25" s="1"/>
      <c r="E25" s="1"/>
      <c r="F25" s="1"/>
      <c r="G25" s="1"/>
    </row>
  </sheetData>
  <mergeCells count="2">
    <mergeCell ref="A1:G2"/>
    <mergeCell ref="A3:G3"/>
  </mergeCells>
  <conditionalFormatting sqref="G8:G22">
    <cfRule type="expression" dxfId="11" priority="1">
      <formula>G8="OK"</formula>
    </cfRule>
    <cfRule type="expression" dxfId="10" priority="2">
      <formula>G8="Nicht OK"</formula>
    </cfRule>
    <cfRule type="expression" dxfId="9" priority="3">
      <formula>G8="Nicht geprüft"</formula>
    </cfRule>
    <cfRule type="expression" dxfId="8" priority="4">
      <formula>G8="n. a."</formula>
    </cfRule>
  </conditionalFormatting>
  <dataValidations count="1">
    <dataValidation type="list" sqref="G8:G22" xr:uid="{00000000-0002-0000-0100-000000000000}">
      <formula1>"Nicht geprüft,OK,Nicht OK,n. 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showGridLines="0" tabSelected="1" workbookViewId="0">
      <pane ySplit="5" topLeftCell="A6" activePane="bottomLeft" state="frozen"/>
      <selection pane="bottomLeft" activeCell="D10" sqref="D10"/>
    </sheetView>
  </sheetViews>
  <sheetFormatPr baseColWidth="10" defaultColWidth="9" defaultRowHeight="14.25"/>
  <cols>
    <col min="1" max="1" width="9" customWidth="1"/>
    <col min="2" max="2" width="18" customWidth="1"/>
    <col min="3" max="3" width="42" customWidth="1"/>
    <col min="4" max="4" width="52" customWidth="1"/>
    <col min="5" max="5" width="18" customWidth="1"/>
    <col min="6" max="6" width="46" customWidth="1"/>
    <col min="7" max="7" width="28" customWidth="1"/>
    <col min="8" max="8" width="14" customWidth="1"/>
    <col min="9" max="9" width="19" customWidth="1"/>
    <col min="10" max="10" width="22" customWidth="1"/>
    <col min="11" max="11" width="34" customWidth="1"/>
  </cols>
  <sheetData>
    <row r="1" spans="1:11" ht="33.950000000000003" customHeight="1">
      <c r="A1" s="22" t="s">
        <v>86</v>
      </c>
      <c r="B1" s="22" t="s">
        <v>86</v>
      </c>
      <c r="C1" s="22" t="s">
        <v>86</v>
      </c>
      <c r="D1" s="22" t="s">
        <v>86</v>
      </c>
      <c r="E1" s="22" t="s">
        <v>86</v>
      </c>
      <c r="F1" s="22" t="s">
        <v>86</v>
      </c>
      <c r="G1" s="22" t="s">
        <v>86</v>
      </c>
      <c r="H1" s="22" t="s">
        <v>86</v>
      </c>
      <c r="I1" s="22" t="s">
        <v>86</v>
      </c>
      <c r="J1" s="22" t="s">
        <v>86</v>
      </c>
      <c r="K1" s="22" t="s">
        <v>86</v>
      </c>
    </row>
    <row r="2" spans="1:11" ht="33.950000000000003" customHeight="1">
      <c r="A2" s="22" t="s">
        <v>86</v>
      </c>
      <c r="B2" s="22" t="s">
        <v>86</v>
      </c>
      <c r="C2" s="22" t="s">
        <v>86</v>
      </c>
      <c r="D2" s="22" t="s">
        <v>86</v>
      </c>
      <c r="E2" s="22" t="s">
        <v>86</v>
      </c>
      <c r="F2" s="22" t="s">
        <v>86</v>
      </c>
      <c r="G2" s="22" t="s">
        <v>86</v>
      </c>
      <c r="H2" s="22" t="s">
        <v>86</v>
      </c>
      <c r="I2" s="22" t="s">
        <v>86</v>
      </c>
      <c r="J2" s="22" t="s">
        <v>86</v>
      </c>
      <c r="K2" s="22" t="s">
        <v>86</v>
      </c>
    </row>
    <row r="3" spans="1:11">
      <c r="A3" s="27" t="s">
        <v>87</v>
      </c>
      <c r="B3" s="27" t="s">
        <v>87</v>
      </c>
      <c r="C3" s="27" t="s">
        <v>87</v>
      </c>
      <c r="D3" s="27" t="s">
        <v>87</v>
      </c>
      <c r="E3" s="27" t="s">
        <v>87</v>
      </c>
      <c r="F3" s="27" t="s">
        <v>87</v>
      </c>
      <c r="G3" s="27" t="s">
        <v>87</v>
      </c>
      <c r="H3" s="27" t="s">
        <v>87</v>
      </c>
      <c r="I3" s="27" t="s">
        <v>87</v>
      </c>
      <c r="J3" s="27" t="s">
        <v>87</v>
      </c>
      <c r="K3" s="27" t="s">
        <v>87</v>
      </c>
    </row>
    <row r="4" spans="1:11">
      <c r="A4" s="1"/>
      <c r="B4" s="1"/>
      <c r="C4" s="1"/>
      <c r="D4" s="1"/>
      <c r="E4" s="1"/>
      <c r="F4" s="1"/>
      <c r="G4" s="1"/>
      <c r="H4" s="1"/>
      <c r="I4" s="1"/>
      <c r="J4" s="1"/>
      <c r="K4" s="1"/>
    </row>
    <row r="5" spans="1:11" ht="15">
      <c r="A5" s="13" t="s">
        <v>88</v>
      </c>
      <c r="B5" s="13">
        <v>22</v>
      </c>
      <c r="C5" s="13" t="s">
        <v>89</v>
      </c>
      <c r="D5" s="13">
        <f>COUNTIF(B8:B29,"Eingabe")+COUNTIF(B8:B29,"Eingabe / Ausgabe")</f>
        <v>10</v>
      </c>
      <c r="E5" s="13" t="s">
        <v>90</v>
      </c>
      <c r="F5" s="13">
        <f>COUNTIF(B8:B29,"Ausgabe")+COUNTIF(B8:B29,"Eingabe / Ausgabe")</f>
        <v>18</v>
      </c>
      <c r="G5" s="13" t="s">
        <v>91</v>
      </c>
      <c r="H5" s="13">
        <f>COUNTIF(I8:I29,"Geprüft")+COUNTIF(I8:I29,"Freigegeben")</f>
        <v>0</v>
      </c>
      <c r="I5" s="13" t="s">
        <v>92</v>
      </c>
      <c r="J5" s="13">
        <f>COUNTIF(I8:I29,"Nicht vorgelegt")</f>
        <v>22</v>
      </c>
      <c r="K5" s="13"/>
    </row>
    <row r="6" spans="1:11">
      <c r="A6" s="1"/>
      <c r="B6" s="1"/>
      <c r="C6" s="1"/>
      <c r="D6" s="1"/>
      <c r="E6" s="1"/>
      <c r="F6" s="1"/>
      <c r="G6" s="1"/>
      <c r="H6" s="1"/>
      <c r="I6" s="1"/>
      <c r="J6" s="1"/>
      <c r="K6" s="1"/>
    </row>
    <row r="7" spans="1:11">
      <c r="A7" s="10" t="s">
        <v>93</v>
      </c>
      <c r="B7" s="10" t="s">
        <v>94</v>
      </c>
      <c r="C7" s="10" t="s">
        <v>95</v>
      </c>
      <c r="D7" s="10" t="s">
        <v>96</v>
      </c>
      <c r="E7" s="10" t="s">
        <v>97</v>
      </c>
      <c r="F7" s="10" t="s">
        <v>98</v>
      </c>
      <c r="G7" s="10" t="s">
        <v>99</v>
      </c>
      <c r="H7" s="10" t="s">
        <v>100</v>
      </c>
      <c r="I7" s="10" t="s">
        <v>101</v>
      </c>
      <c r="J7" s="10" t="s">
        <v>102</v>
      </c>
      <c r="K7" s="10" t="s">
        <v>103</v>
      </c>
    </row>
    <row r="8" spans="1:11" ht="60" customHeight="1">
      <c r="A8" s="16" t="s">
        <v>49</v>
      </c>
      <c r="B8" s="16" t="s">
        <v>104</v>
      </c>
      <c r="C8" s="17" t="s">
        <v>105</v>
      </c>
      <c r="D8" s="17" t="s">
        <v>106</v>
      </c>
      <c r="E8" s="16" t="s">
        <v>107</v>
      </c>
      <c r="F8" s="17" t="s">
        <v>108</v>
      </c>
      <c r="G8" s="18"/>
      <c r="H8" s="20"/>
      <c r="I8" s="20" t="s">
        <v>92</v>
      </c>
      <c r="J8" s="18"/>
      <c r="K8" s="18"/>
    </row>
    <row r="9" spans="1:11" ht="60" customHeight="1">
      <c r="A9" s="16" t="s">
        <v>53</v>
      </c>
      <c r="B9" s="16" t="s">
        <v>104</v>
      </c>
      <c r="C9" s="17" t="s">
        <v>109</v>
      </c>
      <c r="D9" s="17" t="s">
        <v>110</v>
      </c>
      <c r="E9" s="16" t="s">
        <v>111</v>
      </c>
      <c r="F9" s="17" t="s">
        <v>112</v>
      </c>
      <c r="G9" s="18"/>
      <c r="H9" s="20"/>
      <c r="I9" s="20" t="s">
        <v>92</v>
      </c>
      <c r="J9" s="18"/>
      <c r="K9" s="18"/>
    </row>
    <row r="10" spans="1:11" ht="60" customHeight="1">
      <c r="A10" s="16" t="s">
        <v>113</v>
      </c>
      <c r="B10" s="16" t="s">
        <v>114</v>
      </c>
      <c r="C10" s="17" t="s">
        <v>115</v>
      </c>
      <c r="D10" s="17" t="s">
        <v>116</v>
      </c>
      <c r="E10" s="16" t="s">
        <v>54</v>
      </c>
      <c r="F10" s="17" t="s">
        <v>117</v>
      </c>
      <c r="G10" s="18"/>
      <c r="H10" s="20"/>
      <c r="I10" s="20" t="s">
        <v>92</v>
      </c>
      <c r="J10" s="18"/>
      <c r="K10" s="18"/>
    </row>
    <row r="11" spans="1:11" ht="60" customHeight="1">
      <c r="A11" s="16" t="s">
        <v>118</v>
      </c>
      <c r="B11" s="16" t="s">
        <v>119</v>
      </c>
      <c r="C11" s="17" t="s">
        <v>120</v>
      </c>
      <c r="D11" s="17" t="s">
        <v>121</v>
      </c>
      <c r="E11" s="16" t="s">
        <v>122</v>
      </c>
      <c r="F11" s="17" t="s">
        <v>123</v>
      </c>
      <c r="G11" s="18"/>
      <c r="H11" s="20"/>
      <c r="I11" s="20" t="s">
        <v>92</v>
      </c>
      <c r="J11" s="18"/>
      <c r="K11" s="18"/>
    </row>
    <row r="12" spans="1:11" ht="60" customHeight="1">
      <c r="A12" s="16" t="s">
        <v>124</v>
      </c>
      <c r="B12" s="16" t="s">
        <v>119</v>
      </c>
      <c r="C12" s="17" t="s">
        <v>125</v>
      </c>
      <c r="D12" s="17" t="s">
        <v>126</v>
      </c>
      <c r="E12" s="16" t="s">
        <v>127</v>
      </c>
      <c r="F12" s="17" t="s">
        <v>128</v>
      </c>
      <c r="G12" s="18"/>
      <c r="H12" s="20"/>
      <c r="I12" s="20" t="s">
        <v>92</v>
      </c>
      <c r="J12" s="18"/>
      <c r="K12" s="18"/>
    </row>
    <row r="13" spans="1:11" ht="60" customHeight="1">
      <c r="A13" s="16" t="s">
        <v>129</v>
      </c>
      <c r="B13" s="16" t="s">
        <v>114</v>
      </c>
      <c r="C13" s="17" t="s">
        <v>130</v>
      </c>
      <c r="D13" s="17" t="s">
        <v>131</v>
      </c>
      <c r="E13" s="16" t="s">
        <v>132</v>
      </c>
      <c r="F13" s="17" t="s">
        <v>133</v>
      </c>
      <c r="G13" s="18"/>
      <c r="H13" s="20"/>
      <c r="I13" s="20" t="s">
        <v>92</v>
      </c>
      <c r="J13" s="18"/>
      <c r="K13" s="18"/>
    </row>
    <row r="14" spans="1:11" ht="60" customHeight="1">
      <c r="A14" s="16" t="s">
        <v>134</v>
      </c>
      <c r="B14" s="16" t="s">
        <v>114</v>
      </c>
      <c r="C14" s="17" t="s">
        <v>135</v>
      </c>
      <c r="D14" s="17" t="s">
        <v>136</v>
      </c>
      <c r="E14" s="16" t="s">
        <v>66</v>
      </c>
      <c r="F14" s="17" t="s">
        <v>137</v>
      </c>
      <c r="G14" s="18"/>
      <c r="H14" s="20"/>
      <c r="I14" s="20" t="s">
        <v>92</v>
      </c>
      <c r="J14" s="18"/>
      <c r="K14" s="18"/>
    </row>
    <row r="15" spans="1:11" ht="60" customHeight="1">
      <c r="A15" s="16" t="s">
        <v>138</v>
      </c>
      <c r="B15" s="16" t="s">
        <v>114</v>
      </c>
      <c r="C15" s="17" t="s">
        <v>139</v>
      </c>
      <c r="D15" s="17" t="s">
        <v>140</v>
      </c>
      <c r="E15" s="16" t="s">
        <v>66</v>
      </c>
      <c r="F15" s="17" t="s">
        <v>141</v>
      </c>
      <c r="G15" s="18"/>
      <c r="H15" s="20"/>
      <c r="I15" s="20" t="s">
        <v>92</v>
      </c>
      <c r="J15" s="18"/>
      <c r="K15" s="18"/>
    </row>
    <row r="16" spans="1:11" ht="60" customHeight="1">
      <c r="A16" s="16" t="s">
        <v>142</v>
      </c>
      <c r="B16" s="16" t="s">
        <v>119</v>
      </c>
      <c r="C16" s="17" t="s">
        <v>143</v>
      </c>
      <c r="D16" s="17" t="s">
        <v>144</v>
      </c>
      <c r="E16" s="16" t="s">
        <v>145</v>
      </c>
      <c r="F16" s="17" t="s">
        <v>146</v>
      </c>
      <c r="G16" s="18"/>
      <c r="H16" s="20"/>
      <c r="I16" s="20" t="s">
        <v>92</v>
      </c>
      <c r="J16" s="18"/>
      <c r="K16" s="18"/>
    </row>
    <row r="17" spans="1:11" ht="60" customHeight="1">
      <c r="A17" s="16" t="s">
        <v>147</v>
      </c>
      <c r="B17" s="16" t="s">
        <v>119</v>
      </c>
      <c r="C17" s="17" t="s">
        <v>148</v>
      </c>
      <c r="D17" s="17" t="s">
        <v>149</v>
      </c>
      <c r="E17" s="16" t="s">
        <v>145</v>
      </c>
      <c r="F17" s="17" t="s">
        <v>150</v>
      </c>
      <c r="G17" s="18"/>
      <c r="H17" s="20"/>
      <c r="I17" s="20" t="s">
        <v>92</v>
      </c>
      <c r="J17" s="18"/>
      <c r="K17" s="18"/>
    </row>
    <row r="18" spans="1:11" ht="60" customHeight="1">
      <c r="A18" s="16" t="s">
        <v>151</v>
      </c>
      <c r="B18" s="16" t="s">
        <v>119</v>
      </c>
      <c r="C18" s="17" t="s">
        <v>152</v>
      </c>
      <c r="D18" s="17" t="s">
        <v>153</v>
      </c>
      <c r="E18" s="16" t="s">
        <v>154</v>
      </c>
      <c r="F18" s="17" t="s">
        <v>155</v>
      </c>
      <c r="G18" s="18"/>
      <c r="H18" s="20"/>
      <c r="I18" s="20" t="s">
        <v>92</v>
      </c>
      <c r="J18" s="18"/>
      <c r="K18" s="18"/>
    </row>
    <row r="19" spans="1:11" ht="60" customHeight="1">
      <c r="A19" s="16" t="s">
        <v>156</v>
      </c>
      <c r="B19" s="16" t="s">
        <v>104</v>
      </c>
      <c r="C19" s="17" t="s">
        <v>157</v>
      </c>
      <c r="D19" s="17" t="s">
        <v>158</v>
      </c>
      <c r="E19" s="16" t="s">
        <v>159</v>
      </c>
      <c r="F19" s="17" t="s">
        <v>160</v>
      </c>
      <c r="G19" s="18"/>
      <c r="H19" s="20"/>
      <c r="I19" s="20" t="s">
        <v>92</v>
      </c>
      <c r="J19" s="18"/>
      <c r="K19" s="18"/>
    </row>
    <row r="20" spans="1:11" ht="60" customHeight="1">
      <c r="A20" s="16" t="s">
        <v>161</v>
      </c>
      <c r="B20" s="16" t="s">
        <v>104</v>
      </c>
      <c r="C20" s="17" t="s">
        <v>162</v>
      </c>
      <c r="D20" s="17" t="s">
        <v>163</v>
      </c>
      <c r="E20" s="16" t="s">
        <v>164</v>
      </c>
      <c r="F20" s="17" t="s">
        <v>165</v>
      </c>
      <c r="G20" s="18"/>
      <c r="H20" s="20"/>
      <c r="I20" s="20" t="s">
        <v>92</v>
      </c>
      <c r="J20" s="18"/>
      <c r="K20" s="18"/>
    </row>
    <row r="21" spans="1:11" ht="60" customHeight="1">
      <c r="A21" s="16" t="s">
        <v>166</v>
      </c>
      <c r="B21" s="16" t="s">
        <v>114</v>
      </c>
      <c r="C21" s="17" t="s">
        <v>167</v>
      </c>
      <c r="D21" s="17" t="s">
        <v>168</v>
      </c>
      <c r="E21" s="16" t="s">
        <v>169</v>
      </c>
      <c r="F21" s="17" t="s">
        <v>170</v>
      </c>
      <c r="G21" s="18"/>
      <c r="H21" s="20"/>
      <c r="I21" s="20" t="s">
        <v>92</v>
      </c>
      <c r="J21" s="18"/>
      <c r="K21" s="18"/>
    </row>
    <row r="22" spans="1:11" ht="60" customHeight="1">
      <c r="A22" s="16" t="s">
        <v>171</v>
      </c>
      <c r="B22" s="16" t="s">
        <v>114</v>
      </c>
      <c r="C22" s="17" t="s">
        <v>172</v>
      </c>
      <c r="D22" s="17" t="s">
        <v>173</v>
      </c>
      <c r="E22" s="16" t="s">
        <v>154</v>
      </c>
      <c r="F22" s="17" t="s">
        <v>174</v>
      </c>
      <c r="G22" s="18"/>
      <c r="H22" s="20"/>
      <c r="I22" s="20" t="s">
        <v>92</v>
      </c>
      <c r="J22" s="18"/>
      <c r="K22" s="18"/>
    </row>
    <row r="23" spans="1:11" ht="60" customHeight="1">
      <c r="A23" s="16" t="s">
        <v>175</v>
      </c>
      <c r="B23" s="16" t="s">
        <v>119</v>
      </c>
      <c r="C23" s="17" t="s">
        <v>176</v>
      </c>
      <c r="D23" s="17" t="s">
        <v>177</v>
      </c>
      <c r="E23" s="16" t="s">
        <v>178</v>
      </c>
      <c r="F23" s="17" t="s">
        <v>179</v>
      </c>
      <c r="G23" s="18"/>
      <c r="H23" s="20"/>
      <c r="I23" s="20" t="s">
        <v>92</v>
      </c>
      <c r="J23" s="18"/>
      <c r="K23" s="18"/>
    </row>
    <row r="24" spans="1:11" ht="60" customHeight="1">
      <c r="A24" s="16" t="s">
        <v>180</v>
      </c>
      <c r="B24" s="16" t="s">
        <v>119</v>
      </c>
      <c r="C24" s="17" t="s">
        <v>181</v>
      </c>
      <c r="D24" s="17" t="s">
        <v>182</v>
      </c>
      <c r="E24" s="16" t="s">
        <v>183</v>
      </c>
      <c r="F24" s="17" t="s">
        <v>184</v>
      </c>
      <c r="G24" s="18"/>
      <c r="H24" s="20"/>
      <c r="I24" s="20" t="s">
        <v>92</v>
      </c>
      <c r="J24" s="18"/>
      <c r="K24" s="18"/>
    </row>
    <row r="25" spans="1:11" ht="60" customHeight="1">
      <c r="A25" s="16" t="s">
        <v>185</v>
      </c>
      <c r="B25" s="16" t="s">
        <v>119</v>
      </c>
      <c r="C25" s="17" t="s">
        <v>186</v>
      </c>
      <c r="D25" s="17" t="s">
        <v>187</v>
      </c>
      <c r="E25" s="16" t="s">
        <v>74</v>
      </c>
      <c r="F25" s="17" t="s">
        <v>188</v>
      </c>
      <c r="G25" s="18"/>
      <c r="H25" s="20"/>
      <c r="I25" s="20" t="s">
        <v>92</v>
      </c>
      <c r="J25" s="18"/>
      <c r="K25" s="18"/>
    </row>
    <row r="26" spans="1:11" ht="60" customHeight="1">
      <c r="A26" s="16" t="s">
        <v>189</v>
      </c>
      <c r="B26" s="16" t="s">
        <v>119</v>
      </c>
      <c r="C26" s="17" t="s">
        <v>190</v>
      </c>
      <c r="D26" s="17" t="s">
        <v>191</v>
      </c>
      <c r="E26" s="16" t="s">
        <v>192</v>
      </c>
      <c r="F26" s="17" t="s">
        <v>193</v>
      </c>
      <c r="G26" s="18"/>
      <c r="H26" s="20"/>
      <c r="I26" s="20" t="s">
        <v>92</v>
      </c>
      <c r="J26" s="18"/>
      <c r="K26" s="18"/>
    </row>
    <row r="27" spans="1:11" ht="60" customHeight="1">
      <c r="A27" s="16" t="s">
        <v>194</v>
      </c>
      <c r="B27" s="16" t="s">
        <v>119</v>
      </c>
      <c r="C27" s="17" t="s">
        <v>195</v>
      </c>
      <c r="D27" s="17" t="s">
        <v>196</v>
      </c>
      <c r="E27" s="16" t="s">
        <v>192</v>
      </c>
      <c r="F27" s="17" t="s">
        <v>197</v>
      </c>
      <c r="G27" s="18"/>
      <c r="H27" s="20"/>
      <c r="I27" s="20" t="s">
        <v>92</v>
      </c>
      <c r="J27" s="18"/>
      <c r="K27" s="18"/>
    </row>
    <row r="28" spans="1:11" ht="60" customHeight="1">
      <c r="A28" s="16" t="s">
        <v>198</v>
      </c>
      <c r="B28" s="16" t="s">
        <v>119</v>
      </c>
      <c r="C28" s="17" t="s">
        <v>199</v>
      </c>
      <c r="D28" s="17" t="s">
        <v>200</v>
      </c>
      <c r="E28" s="16" t="s">
        <v>201</v>
      </c>
      <c r="F28" s="17" t="s">
        <v>202</v>
      </c>
      <c r="G28" s="18"/>
      <c r="H28" s="20"/>
      <c r="I28" s="20" t="s">
        <v>92</v>
      </c>
      <c r="J28" s="18"/>
      <c r="K28" s="18"/>
    </row>
    <row r="29" spans="1:11" ht="60" customHeight="1">
      <c r="A29" s="16" t="s">
        <v>203</v>
      </c>
      <c r="B29" s="16" t="s">
        <v>119</v>
      </c>
      <c r="C29" s="17" t="s">
        <v>204</v>
      </c>
      <c r="D29" s="17" t="s">
        <v>205</v>
      </c>
      <c r="E29" s="16" t="s">
        <v>82</v>
      </c>
      <c r="F29" s="17" t="s">
        <v>206</v>
      </c>
      <c r="G29" s="18"/>
      <c r="H29" s="20"/>
      <c r="I29" s="20" t="s">
        <v>92</v>
      </c>
      <c r="J29" s="18"/>
      <c r="K29" s="18"/>
    </row>
    <row r="30" spans="1:11" ht="56.1" customHeight="1"/>
    <row r="31" spans="1:11" ht="56.1" customHeight="1"/>
    <row r="32" spans="1:11" ht="56.1" customHeight="1"/>
    <row r="33" spans="1:11" ht="56.1" customHeight="1"/>
    <row r="34" spans="1:11" ht="56.1" customHeight="1"/>
    <row r="35" spans="1:11" ht="56.1" customHeight="1"/>
    <row r="36" spans="1:11" ht="56.1" customHeight="1"/>
    <row r="37" spans="1:11" ht="56.1" customHeight="1"/>
    <row r="38" spans="1:11" ht="56.1" customHeight="1"/>
    <row r="39" spans="1:11" ht="56.1" customHeight="1"/>
    <row r="40" spans="1:11" ht="56.1" customHeight="1"/>
    <row r="41" spans="1:11" ht="56.1" customHeight="1"/>
    <row r="42" spans="1:11" ht="56.1" customHeight="1"/>
    <row r="43" spans="1:11" ht="56.1" customHeight="1"/>
    <row r="44" spans="1:11" ht="56.1" customHeight="1"/>
    <row r="45" spans="1:11">
      <c r="A45" s="1"/>
      <c r="B45" s="1"/>
      <c r="C45" s="1"/>
      <c r="D45" s="1"/>
      <c r="E45" s="1"/>
      <c r="F45" s="1"/>
      <c r="G45" s="1"/>
      <c r="H45" s="1"/>
      <c r="I45" s="1"/>
      <c r="J45" s="1"/>
      <c r="K45" s="1"/>
    </row>
  </sheetData>
  <mergeCells count="2">
    <mergeCell ref="A1:K2"/>
    <mergeCell ref="A3:K3"/>
  </mergeCells>
  <conditionalFormatting sqref="B8:B44">
    <cfRule type="expression" dxfId="7" priority="1">
      <formula>B8="Eingabe"</formula>
    </cfRule>
    <cfRule type="expression" dxfId="6" priority="2">
      <formula>B8="Ausgabe"</formula>
    </cfRule>
    <cfRule type="expression" dxfId="5" priority="3">
      <formula>B8="Eingabe / Ausgabe"</formula>
    </cfRule>
  </conditionalFormatting>
  <conditionalFormatting sqref="I8:I44">
    <cfRule type="expression" dxfId="4" priority="4">
      <formula>I8="Geprüft"</formula>
    </cfRule>
    <cfRule type="expression" dxfId="3" priority="5">
      <formula>I8="Freigegeben"</formula>
    </cfRule>
    <cfRule type="expression" dxfId="2" priority="6">
      <formula>I8="Nicht vorgelegt"</formula>
    </cfRule>
  </conditionalFormatting>
  <dataValidations count="1">
    <dataValidation type="list" sqref="I8:I44" xr:uid="{00000000-0002-0000-0200-000000000000}">
      <formula1>"Nicht vorgelegt,Vorgelegt,In Prüfung,Geprüft,Freigegeben,Nicht anwendbar"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workbookViewId="0">
      <pane ySplit="5" topLeftCell="A6" activePane="bottomLeft" state="frozen"/>
      <selection pane="bottomLeft" sqref="A1:XFD5"/>
    </sheetView>
  </sheetViews>
  <sheetFormatPr baseColWidth="10" defaultColWidth="9" defaultRowHeight="14.25"/>
  <cols>
    <col min="1" max="1" width="10" customWidth="1"/>
    <col min="2" max="2" width="8" customWidth="1"/>
    <col min="3" max="3" width="58" customWidth="1"/>
    <col min="4" max="4" width="18" customWidth="1"/>
    <col min="5" max="5" width="22" customWidth="1"/>
    <col min="6" max="6" width="14" customWidth="1"/>
    <col min="7" max="7" width="20" customWidth="1"/>
  </cols>
  <sheetData>
    <row r="1" spans="1:7" ht="33.950000000000003" customHeight="1">
      <c r="A1" s="22" t="s">
        <v>207</v>
      </c>
      <c r="B1" s="22" t="s">
        <v>207</v>
      </c>
      <c r="C1" s="22" t="s">
        <v>207</v>
      </c>
      <c r="D1" s="22" t="s">
        <v>207</v>
      </c>
      <c r="E1" s="22" t="s">
        <v>207</v>
      </c>
      <c r="F1" s="22" t="s">
        <v>207</v>
      </c>
      <c r="G1" s="22" t="s">
        <v>207</v>
      </c>
    </row>
    <row r="2" spans="1:7" ht="33.950000000000003" customHeight="1">
      <c r="A2" s="22" t="s">
        <v>207</v>
      </c>
      <c r="B2" s="22" t="s">
        <v>207</v>
      </c>
      <c r="C2" s="22" t="s">
        <v>207</v>
      </c>
      <c r="D2" s="22" t="s">
        <v>207</v>
      </c>
      <c r="E2" s="22" t="s">
        <v>207</v>
      </c>
      <c r="F2" s="22" t="s">
        <v>207</v>
      </c>
      <c r="G2" s="22" t="s">
        <v>207</v>
      </c>
    </row>
    <row r="3" spans="1:7">
      <c r="A3" s="28" t="s">
        <v>208</v>
      </c>
      <c r="B3" s="28"/>
      <c r="C3" s="28"/>
      <c r="D3" s="28"/>
      <c r="E3" s="28"/>
      <c r="F3" s="28"/>
      <c r="G3" s="28"/>
    </row>
    <row r="4" spans="1:7">
      <c r="A4" s="1"/>
      <c r="B4" s="1"/>
      <c r="C4" s="1"/>
      <c r="D4" s="1"/>
      <c r="E4" s="1"/>
      <c r="F4" s="1"/>
      <c r="G4" s="1"/>
    </row>
    <row r="5" spans="1:7">
      <c r="A5" s="10" t="s">
        <v>93</v>
      </c>
      <c r="B5" s="10" t="s">
        <v>209</v>
      </c>
      <c r="C5" s="10" t="s">
        <v>210</v>
      </c>
      <c r="D5" s="10" t="s">
        <v>97</v>
      </c>
      <c r="E5" s="10" t="s">
        <v>102</v>
      </c>
      <c r="F5" s="10" t="s">
        <v>211</v>
      </c>
      <c r="G5" s="10" t="s">
        <v>101</v>
      </c>
    </row>
    <row r="6" spans="1:7" ht="33.950000000000003" customHeight="1">
      <c r="A6" s="10" t="s">
        <v>212</v>
      </c>
      <c r="B6" s="3"/>
      <c r="C6" s="3"/>
      <c r="D6" s="3"/>
      <c r="E6" s="3"/>
      <c r="F6" s="4"/>
      <c r="G6" s="3" t="s">
        <v>213</v>
      </c>
    </row>
    <row r="7" spans="1:7" ht="33.950000000000003" customHeight="1">
      <c r="A7" s="10" t="s">
        <v>214</v>
      </c>
      <c r="B7" s="3"/>
      <c r="C7" s="3"/>
      <c r="D7" s="3"/>
      <c r="E7" s="3"/>
      <c r="F7" s="4"/>
      <c r="G7" s="3" t="s">
        <v>213</v>
      </c>
    </row>
    <row r="8" spans="1:7" ht="33.950000000000003" customHeight="1">
      <c r="A8" s="10" t="s">
        <v>215</v>
      </c>
      <c r="B8" s="3"/>
      <c r="C8" s="3"/>
      <c r="D8" s="3"/>
      <c r="E8" s="3"/>
      <c r="F8" s="4"/>
      <c r="G8" s="3" t="s">
        <v>213</v>
      </c>
    </row>
    <row r="9" spans="1:7" ht="33.950000000000003" customHeight="1">
      <c r="A9" s="10" t="s">
        <v>216</v>
      </c>
      <c r="B9" s="3"/>
      <c r="C9" s="3"/>
      <c r="D9" s="3"/>
      <c r="E9" s="3"/>
      <c r="F9" s="4"/>
      <c r="G9" s="3" t="s">
        <v>213</v>
      </c>
    </row>
    <row r="10" spans="1:7" ht="33.950000000000003" customHeight="1">
      <c r="A10" s="10" t="s">
        <v>217</v>
      </c>
      <c r="B10" s="3"/>
      <c r="C10" s="3"/>
      <c r="D10" s="3"/>
      <c r="E10" s="3"/>
      <c r="F10" s="4"/>
      <c r="G10" s="3" t="s">
        <v>213</v>
      </c>
    </row>
    <row r="11" spans="1:7" ht="33.950000000000003" customHeight="1">
      <c r="A11" s="10" t="s">
        <v>218</v>
      </c>
      <c r="B11" s="3"/>
      <c r="C11" s="3"/>
      <c r="D11" s="3"/>
      <c r="E11" s="3"/>
      <c r="F11" s="4"/>
      <c r="G11" s="3" t="s">
        <v>213</v>
      </c>
    </row>
    <row r="12" spans="1:7" ht="33.950000000000003" customHeight="1">
      <c r="A12" s="10" t="s">
        <v>219</v>
      </c>
      <c r="B12" s="3"/>
      <c r="C12" s="3"/>
      <c r="D12" s="3"/>
      <c r="E12" s="3"/>
      <c r="F12" s="4"/>
      <c r="G12" s="3" t="s">
        <v>213</v>
      </c>
    </row>
    <row r="13" spans="1:7" ht="33.950000000000003" customHeight="1">
      <c r="A13" s="10" t="s">
        <v>220</v>
      </c>
      <c r="B13" s="3"/>
      <c r="C13" s="3"/>
      <c r="D13" s="3"/>
      <c r="E13" s="3"/>
      <c r="F13" s="4"/>
      <c r="G13" s="3" t="s">
        <v>213</v>
      </c>
    </row>
    <row r="14" spans="1:7" ht="33.950000000000003" customHeight="1">
      <c r="A14" s="10" t="s">
        <v>221</v>
      </c>
      <c r="B14" s="3"/>
      <c r="C14" s="3"/>
      <c r="D14" s="3"/>
      <c r="E14" s="3"/>
      <c r="F14" s="4"/>
      <c r="G14" s="3" t="s">
        <v>213</v>
      </c>
    </row>
    <row r="15" spans="1:7" ht="33.950000000000003" customHeight="1">
      <c r="A15" s="10" t="s">
        <v>222</v>
      </c>
      <c r="B15" s="3"/>
      <c r="C15" s="3"/>
      <c r="D15" s="3"/>
      <c r="E15" s="3"/>
      <c r="F15" s="4"/>
      <c r="G15" s="3" t="s">
        <v>213</v>
      </c>
    </row>
    <row r="16" spans="1:7" ht="33.950000000000003" customHeight="1">
      <c r="A16" s="10" t="s">
        <v>223</v>
      </c>
      <c r="B16" s="3"/>
      <c r="C16" s="3"/>
      <c r="D16" s="3"/>
      <c r="E16" s="3"/>
      <c r="F16" s="4"/>
      <c r="G16" s="3" t="s">
        <v>213</v>
      </c>
    </row>
    <row r="17" spans="1:7" ht="33.950000000000003" customHeight="1">
      <c r="A17" s="10" t="s">
        <v>224</v>
      </c>
      <c r="B17" s="3"/>
      <c r="C17" s="3"/>
      <c r="D17" s="3"/>
      <c r="E17" s="3"/>
      <c r="F17" s="4"/>
      <c r="G17" s="3" t="s">
        <v>213</v>
      </c>
    </row>
    <row r="18" spans="1:7" ht="33.950000000000003" customHeight="1">
      <c r="A18" s="10" t="s">
        <v>225</v>
      </c>
      <c r="B18" s="3"/>
      <c r="C18" s="3"/>
      <c r="D18" s="3"/>
      <c r="E18" s="3"/>
      <c r="F18" s="4"/>
      <c r="G18" s="3" t="s">
        <v>213</v>
      </c>
    </row>
    <row r="19" spans="1:7" ht="33.950000000000003" customHeight="1">
      <c r="A19" s="10" t="s">
        <v>226</v>
      </c>
      <c r="B19" s="3"/>
      <c r="C19" s="3"/>
      <c r="D19" s="3"/>
      <c r="E19" s="3"/>
      <c r="F19" s="4"/>
      <c r="G19" s="3" t="s">
        <v>213</v>
      </c>
    </row>
    <row r="20" spans="1:7" ht="33.950000000000003" customHeight="1">
      <c r="A20" s="10" t="s">
        <v>227</v>
      </c>
      <c r="B20" s="3"/>
      <c r="C20" s="3"/>
      <c r="D20" s="3"/>
      <c r="E20" s="3"/>
      <c r="F20" s="4"/>
      <c r="G20" s="3" t="s">
        <v>213</v>
      </c>
    </row>
    <row r="21" spans="1:7" ht="33.950000000000003" customHeight="1">
      <c r="A21" s="10" t="s">
        <v>228</v>
      </c>
      <c r="B21" s="3"/>
      <c r="C21" s="3"/>
      <c r="D21" s="3"/>
      <c r="E21" s="3"/>
      <c r="F21" s="4"/>
      <c r="G21" s="3" t="s">
        <v>213</v>
      </c>
    </row>
    <row r="22" spans="1:7" ht="33.950000000000003" customHeight="1">
      <c r="A22" s="10" t="s">
        <v>229</v>
      </c>
      <c r="B22" s="3"/>
      <c r="C22" s="3"/>
      <c r="D22" s="3"/>
      <c r="E22" s="3"/>
      <c r="F22" s="4"/>
      <c r="G22" s="3" t="s">
        <v>213</v>
      </c>
    </row>
    <row r="23" spans="1:7" ht="33.950000000000003" customHeight="1">
      <c r="A23" s="10" t="s">
        <v>230</v>
      </c>
      <c r="B23" s="3"/>
      <c r="C23" s="3"/>
      <c r="D23" s="3"/>
      <c r="E23" s="3"/>
      <c r="F23" s="4"/>
      <c r="G23" s="3" t="s">
        <v>213</v>
      </c>
    </row>
    <row r="24" spans="1:7" ht="33.950000000000003" customHeight="1">
      <c r="A24" s="10" t="s">
        <v>231</v>
      </c>
      <c r="B24" s="3"/>
      <c r="C24" s="3"/>
      <c r="D24" s="3"/>
      <c r="E24" s="3"/>
      <c r="F24" s="4"/>
      <c r="G24" s="3" t="s">
        <v>213</v>
      </c>
    </row>
    <row r="25" spans="1:7" ht="33.950000000000003" customHeight="1">
      <c r="A25" s="10" t="s">
        <v>232</v>
      </c>
      <c r="B25" s="3"/>
      <c r="C25" s="3"/>
      <c r="D25" s="3"/>
      <c r="E25" s="3"/>
      <c r="F25" s="4"/>
      <c r="G25" s="3" t="s">
        <v>213</v>
      </c>
    </row>
    <row r="26" spans="1:7">
      <c r="A26" s="1"/>
      <c r="B26" s="1"/>
      <c r="C26" s="1"/>
      <c r="D26" s="1"/>
      <c r="E26" s="1"/>
      <c r="F26" s="1"/>
      <c r="G26" s="1"/>
    </row>
    <row r="27" spans="1:7">
      <c r="A27" s="1"/>
      <c r="B27" s="1"/>
      <c r="C27" s="1"/>
      <c r="D27" s="1"/>
      <c r="E27" s="1"/>
      <c r="F27" s="1"/>
      <c r="G27" s="1"/>
    </row>
    <row r="28" spans="1:7">
      <c r="A28" s="1"/>
      <c r="B28" s="1"/>
      <c r="C28" s="1"/>
      <c r="D28" s="1"/>
      <c r="E28" s="1"/>
      <c r="F28" s="1"/>
      <c r="G28" s="1"/>
    </row>
    <row r="29" spans="1:7">
      <c r="A29" s="1"/>
      <c r="B29" s="1"/>
      <c r="C29" s="1"/>
      <c r="D29" s="1"/>
      <c r="E29" s="1"/>
      <c r="F29" s="1"/>
      <c r="G29" s="1"/>
    </row>
    <row r="30" spans="1:7">
      <c r="A30" s="1"/>
      <c r="B30" s="1"/>
      <c r="C30" s="1"/>
      <c r="D30" s="1"/>
      <c r="E30" s="1"/>
      <c r="F30" s="1"/>
      <c r="G30" s="1"/>
    </row>
    <row r="31" spans="1:7">
      <c r="A31" s="1"/>
      <c r="B31" s="1"/>
      <c r="C31" s="1"/>
      <c r="D31" s="1"/>
      <c r="E31" s="1"/>
      <c r="F31" s="1"/>
      <c r="G31" s="1"/>
    </row>
  </sheetData>
  <mergeCells count="2">
    <mergeCell ref="A1:G2"/>
    <mergeCell ref="A3:G3"/>
  </mergeCells>
  <conditionalFormatting sqref="G6:G25">
    <cfRule type="expression" dxfId="1" priority="1">
      <formula>G6="Erledigt"</formula>
    </cfRule>
    <cfRule type="expression" dxfId="0" priority="2">
      <formula>G6="Offen"</formula>
    </cfRule>
  </conditionalFormatting>
  <dataValidations count="2">
    <dataValidation type="list" sqref="B6:B25" xr:uid="{00000000-0002-0000-0300-000000000000}">
      <formula1>"A,I,B"</formula1>
    </dataValidation>
    <dataValidation type="list" sqref="G6:G25" xr:uid="{00000000-0002-0000-0300-000001000000}">
      <formula1>"Offen,In Bearbeitung,Erledigt,Zurückgestellt"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5" topLeftCell="A6" activePane="bottomLeft" state="frozen"/>
      <selection pane="bottomLeft" sqref="A1:XFD5"/>
    </sheetView>
  </sheetViews>
  <sheetFormatPr baseColWidth="10" defaultColWidth="9" defaultRowHeight="14.25"/>
  <cols>
    <col min="1" max="1" width="8" customWidth="1"/>
    <col min="2" max="2" width="42" customWidth="1"/>
    <col min="3" max="3" width="22" customWidth="1"/>
    <col min="4" max="6" width="9" customWidth="1"/>
    <col min="7" max="7" width="72" customWidth="1"/>
    <col min="8" max="8" width="58" customWidth="1"/>
  </cols>
  <sheetData>
    <row r="1" spans="1:8" ht="33.950000000000003" customHeight="1">
      <c r="A1" s="22" t="s">
        <v>233</v>
      </c>
      <c r="B1" s="22" t="s">
        <v>233</v>
      </c>
      <c r="C1" s="22" t="s">
        <v>233</v>
      </c>
      <c r="D1" s="22" t="s">
        <v>233</v>
      </c>
      <c r="E1" s="22" t="s">
        <v>233</v>
      </c>
      <c r="F1" s="22" t="s">
        <v>233</v>
      </c>
      <c r="G1" s="22" t="s">
        <v>233</v>
      </c>
      <c r="H1" s="22" t="s">
        <v>233</v>
      </c>
    </row>
    <row r="2" spans="1:8" ht="33.950000000000003" customHeight="1">
      <c r="A2" s="22" t="s">
        <v>233</v>
      </c>
      <c r="B2" s="22" t="s">
        <v>233</v>
      </c>
      <c r="C2" s="22" t="s">
        <v>233</v>
      </c>
      <c r="D2" s="22" t="s">
        <v>233</v>
      </c>
      <c r="E2" s="22" t="s">
        <v>233</v>
      </c>
      <c r="F2" s="22" t="s">
        <v>233</v>
      </c>
      <c r="G2" s="22" t="s">
        <v>233</v>
      </c>
      <c r="H2" s="22" t="s">
        <v>233</v>
      </c>
    </row>
    <row r="3" spans="1:8">
      <c r="A3" s="28" t="s">
        <v>234</v>
      </c>
      <c r="B3" s="28" t="s">
        <v>234</v>
      </c>
      <c r="C3" s="28" t="s">
        <v>234</v>
      </c>
      <c r="D3" s="28" t="s">
        <v>234</v>
      </c>
      <c r="E3" s="28" t="s">
        <v>234</v>
      </c>
      <c r="F3" s="28" t="s">
        <v>234</v>
      </c>
      <c r="G3" s="28" t="s">
        <v>234</v>
      </c>
      <c r="H3" s="28" t="s">
        <v>234</v>
      </c>
    </row>
    <row r="4" spans="1:8">
      <c r="A4" s="1"/>
      <c r="B4" s="1"/>
      <c r="C4" s="1"/>
      <c r="D4" s="1"/>
      <c r="E4" s="1"/>
      <c r="F4" s="1"/>
      <c r="G4" s="1"/>
      <c r="H4" s="1"/>
    </row>
    <row r="5" spans="1:8">
      <c r="A5" s="10" t="s">
        <v>36</v>
      </c>
      <c r="B5" s="10" t="s">
        <v>235</v>
      </c>
      <c r="C5" s="10" t="s">
        <v>236</v>
      </c>
      <c r="D5" s="10" t="s">
        <v>237</v>
      </c>
      <c r="E5" s="10" t="s">
        <v>238</v>
      </c>
      <c r="F5" s="10" t="s">
        <v>239</v>
      </c>
      <c r="G5" s="10" t="s">
        <v>240</v>
      </c>
      <c r="H5" s="10" t="s">
        <v>98</v>
      </c>
    </row>
    <row r="6" spans="1:8" ht="95.1" customHeight="1">
      <c r="A6" s="12" t="s">
        <v>46</v>
      </c>
      <c r="B6" s="14" t="s">
        <v>241</v>
      </c>
      <c r="C6" s="12" t="s">
        <v>242</v>
      </c>
      <c r="D6" s="12" t="s">
        <v>243</v>
      </c>
      <c r="E6" s="12" t="s">
        <v>243</v>
      </c>
      <c r="F6" s="12" t="s">
        <v>243</v>
      </c>
      <c r="G6" s="11" t="s">
        <v>244</v>
      </c>
      <c r="H6" s="11" t="s">
        <v>245</v>
      </c>
    </row>
    <row r="7" spans="1:8" ht="95.1" customHeight="1">
      <c r="A7" s="12" t="s">
        <v>50</v>
      </c>
      <c r="B7" s="14" t="s">
        <v>246</v>
      </c>
      <c r="C7" s="12" t="s">
        <v>242</v>
      </c>
      <c r="D7" s="12" t="s">
        <v>243</v>
      </c>
      <c r="E7" s="12" t="s">
        <v>243</v>
      </c>
      <c r="F7" s="12" t="s">
        <v>243</v>
      </c>
      <c r="G7" s="11" t="s">
        <v>247</v>
      </c>
      <c r="H7" s="11" t="s">
        <v>248</v>
      </c>
    </row>
    <row r="8" spans="1:8" ht="95.1" customHeight="1">
      <c r="A8" s="12" t="s">
        <v>54</v>
      </c>
      <c r="B8" s="14" t="s">
        <v>249</v>
      </c>
      <c r="C8" s="12" t="s">
        <v>242</v>
      </c>
      <c r="D8" s="12" t="s">
        <v>250</v>
      </c>
      <c r="E8" s="12" t="s">
        <v>243</v>
      </c>
      <c r="F8" s="12" t="s">
        <v>243</v>
      </c>
      <c r="G8" s="11" t="s">
        <v>251</v>
      </c>
      <c r="H8" s="11" t="s">
        <v>245</v>
      </c>
    </row>
    <row r="9" spans="1:8" ht="95.1" customHeight="1">
      <c r="A9" s="12" t="s">
        <v>252</v>
      </c>
      <c r="B9" s="14" t="s">
        <v>253</v>
      </c>
      <c r="C9" s="12" t="s">
        <v>254</v>
      </c>
      <c r="D9" s="12" t="s">
        <v>255</v>
      </c>
      <c r="E9" s="12" t="s">
        <v>250</v>
      </c>
      <c r="F9" s="12" t="s">
        <v>243</v>
      </c>
      <c r="G9" s="11" t="s">
        <v>256</v>
      </c>
      <c r="H9" s="11" t="s">
        <v>257</v>
      </c>
    </row>
    <row r="10" spans="1:8" ht="95.1" customHeight="1">
      <c r="A10" s="12" t="s">
        <v>258</v>
      </c>
      <c r="B10" s="14" t="s">
        <v>259</v>
      </c>
      <c r="C10" s="12" t="s">
        <v>260</v>
      </c>
      <c r="D10" s="12" t="s">
        <v>250</v>
      </c>
      <c r="E10" s="12" t="s">
        <v>243</v>
      </c>
      <c r="F10" s="12" t="s">
        <v>243</v>
      </c>
      <c r="G10" s="11" t="s">
        <v>261</v>
      </c>
      <c r="H10" s="11" t="s">
        <v>262</v>
      </c>
    </row>
    <row r="11" spans="1:8" ht="95.1" customHeight="1">
      <c r="A11" s="12" t="s">
        <v>62</v>
      </c>
      <c r="B11" s="14" t="s">
        <v>263</v>
      </c>
      <c r="C11" s="12" t="s">
        <v>264</v>
      </c>
      <c r="D11" s="12" t="s">
        <v>243</v>
      </c>
      <c r="E11" s="12" t="s">
        <v>243</v>
      </c>
      <c r="F11" s="12" t="s">
        <v>243</v>
      </c>
      <c r="G11" s="11" t="s">
        <v>265</v>
      </c>
      <c r="H11" s="11" t="s">
        <v>266</v>
      </c>
    </row>
    <row r="12" spans="1:8" ht="95.1" customHeight="1">
      <c r="A12" s="12" t="s">
        <v>66</v>
      </c>
      <c r="B12" s="14" t="s">
        <v>267</v>
      </c>
      <c r="C12" s="12" t="s">
        <v>268</v>
      </c>
      <c r="D12" s="12" t="s">
        <v>243</v>
      </c>
      <c r="E12" s="12" t="s">
        <v>243</v>
      </c>
      <c r="F12" s="12" t="s">
        <v>243</v>
      </c>
      <c r="G12" s="11" t="s">
        <v>269</v>
      </c>
      <c r="H12" s="11" t="s">
        <v>270</v>
      </c>
    </row>
    <row r="13" spans="1:8" ht="95.1" customHeight="1">
      <c r="A13" s="12" t="s">
        <v>70</v>
      </c>
      <c r="B13" s="14" t="s">
        <v>271</v>
      </c>
      <c r="C13" s="12" t="s">
        <v>272</v>
      </c>
      <c r="D13" s="12" t="s">
        <v>250</v>
      </c>
      <c r="E13" s="12" t="s">
        <v>250</v>
      </c>
      <c r="F13" s="12" t="s">
        <v>243</v>
      </c>
      <c r="G13" s="11" t="s">
        <v>273</v>
      </c>
      <c r="H13" s="11" t="s">
        <v>274</v>
      </c>
    </row>
    <row r="14" spans="1:8" ht="95.1" customHeight="1">
      <c r="A14" s="12" t="s">
        <v>74</v>
      </c>
      <c r="B14" s="14" t="s">
        <v>275</v>
      </c>
      <c r="C14" s="12" t="s">
        <v>272</v>
      </c>
      <c r="D14" s="12" t="s">
        <v>250</v>
      </c>
      <c r="E14" s="12" t="s">
        <v>250</v>
      </c>
      <c r="F14" s="12" t="s">
        <v>243</v>
      </c>
      <c r="G14" s="11" t="s">
        <v>276</v>
      </c>
      <c r="H14" s="11" t="s">
        <v>274</v>
      </c>
    </row>
    <row r="15" spans="1:8" ht="90" customHeight="1"/>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sheetData>
  <mergeCells count="2">
    <mergeCell ref="A1:H2"/>
    <mergeCell ref="A3:H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8"/>
  <sheetViews>
    <sheetView showGridLines="0" topLeftCell="A8" workbookViewId="0">
      <selection activeCell="B19" sqref="B19"/>
    </sheetView>
  </sheetViews>
  <sheetFormatPr baseColWidth="10" defaultColWidth="9" defaultRowHeight="14.25"/>
  <cols>
    <col min="1" max="1" width="14" customWidth="1"/>
    <col min="2" max="2" width="42" customWidth="1"/>
    <col min="3" max="3" width="48" customWidth="1"/>
    <col min="4" max="4" width="38" customWidth="1"/>
  </cols>
  <sheetData>
    <row r="1" spans="1:4" ht="33.950000000000003" customHeight="1">
      <c r="A1" s="22" t="s">
        <v>277</v>
      </c>
      <c r="B1" s="22" t="s">
        <v>277</v>
      </c>
      <c r="C1" s="22" t="s">
        <v>277</v>
      </c>
      <c r="D1" s="22" t="s">
        <v>277</v>
      </c>
    </row>
    <row r="2" spans="1:4" ht="33.950000000000003" customHeight="1">
      <c r="A2" s="22" t="s">
        <v>277</v>
      </c>
      <c r="B2" s="22" t="s">
        <v>277</v>
      </c>
      <c r="C2" s="22" t="s">
        <v>277</v>
      </c>
      <c r="D2" s="22" t="s">
        <v>277</v>
      </c>
    </row>
    <row r="3" spans="1:4">
      <c r="A3" s="1"/>
      <c r="B3" s="1"/>
      <c r="C3" s="1"/>
      <c r="D3" s="1"/>
    </row>
    <row r="4" spans="1:4" ht="24" customHeight="1">
      <c r="A4" s="24" t="s">
        <v>278</v>
      </c>
      <c r="B4" s="24" t="s">
        <v>278</v>
      </c>
      <c r="C4" s="24" t="s">
        <v>278</v>
      </c>
      <c r="D4" s="24" t="s">
        <v>278</v>
      </c>
    </row>
    <row r="5" spans="1:4">
      <c r="A5" s="9" t="s">
        <v>279</v>
      </c>
      <c r="B5" s="9" t="s">
        <v>280</v>
      </c>
      <c r="C5" s="9" t="s">
        <v>281</v>
      </c>
      <c r="D5" s="9" t="s">
        <v>282</v>
      </c>
    </row>
    <row r="6" spans="1:4" ht="48" customHeight="1">
      <c r="A6" s="15" t="s">
        <v>243</v>
      </c>
      <c r="B6" s="9" t="s">
        <v>283</v>
      </c>
      <c r="C6" s="9" t="s">
        <v>284</v>
      </c>
      <c r="D6" s="9" t="s">
        <v>285</v>
      </c>
    </row>
    <row r="7" spans="1:4" ht="48" customHeight="1">
      <c r="A7" s="15" t="s">
        <v>250</v>
      </c>
      <c r="B7" s="9" t="s">
        <v>286</v>
      </c>
      <c r="C7" s="9" t="s">
        <v>287</v>
      </c>
      <c r="D7" s="9" t="s">
        <v>285</v>
      </c>
    </row>
    <row r="8" spans="1:4" ht="48" customHeight="1">
      <c r="A8" s="15" t="s">
        <v>255</v>
      </c>
      <c r="B8" s="9" t="s">
        <v>288</v>
      </c>
      <c r="C8" s="9" t="s">
        <v>289</v>
      </c>
      <c r="D8" s="9" t="s">
        <v>285</v>
      </c>
    </row>
    <row r="9" spans="1:4" ht="48" customHeight="1">
      <c r="A9" s="15" t="s">
        <v>290</v>
      </c>
      <c r="B9" s="9" t="s">
        <v>291</v>
      </c>
      <c r="C9" s="9" t="s">
        <v>292</v>
      </c>
      <c r="D9" s="9" t="s">
        <v>285</v>
      </c>
    </row>
    <row r="10" spans="1:4">
      <c r="A10" s="1"/>
      <c r="B10" s="1"/>
      <c r="C10" s="1"/>
      <c r="D10" s="1"/>
    </row>
    <row r="11" spans="1:4" ht="24" customHeight="1">
      <c r="A11" s="24" t="s">
        <v>293</v>
      </c>
      <c r="B11" s="24" t="s">
        <v>293</v>
      </c>
      <c r="C11" s="24" t="s">
        <v>293</v>
      </c>
      <c r="D11" s="24" t="s">
        <v>293</v>
      </c>
    </row>
    <row r="12" spans="1:4">
      <c r="A12" s="9" t="s">
        <v>294</v>
      </c>
      <c r="B12" s="9" t="s">
        <v>295</v>
      </c>
      <c r="C12" s="9" t="s">
        <v>296</v>
      </c>
      <c r="D12" s="9" t="s">
        <v>297</v>
      </c>
    </row>
    <row r="13" spans="1:4" ht="51.95" customHeight="1">
      <c r="A13" s="9" t="s">
        <v>46</v>
      </c>
      <c r="B13" s="9" t="s">
        <v>298</v>
      </c>
      <c r="C13" s="9" t="s">
        <v>299</v>
      </c>
      <c r="D13" s="9" t="s">
        <v>300</v>
      </c>
    </row>
    <row r="14" spans="1:4" ht="51.95" customHeight="1">
      <c r="A14" s="9" t="s">
        <v>50</v>
      </c>
      <c r="B14" s="9" t="s">
        <v>301</v>
      </c>
      <c r="C14" s="9" t="s">
        <v>302</v>
      </c>
      <c r="D14" s="9" t="s">
        <v>303</v>
      </c>
    </row>
    <row r="15" spans="1:4" ht="51.95" customHeight="1">
      <c r="A15" s="9" t="s">
        <v>54</v>
      </c>
      <c r="B15" s="9" t="s">
        <v>304</v>
      </c>
      <c r="C15" s="9" t="s">
        <v>305</v>
      </c>
      <c r="D15" s="9" t="s">
        <v>306</v>
      </c>
    </row>
    <row r="16" spans="1:4" ht="51.95" customHeight="1">
      <c r="A16" s="9" t="s">
        <v>58</v>
      </c>
      <c r="B16" s="9" t="s">
        <v>307</v>
      </c>
      <c r="C16" s="9" t="s">
        <v>308</v>
      </c>
      <c r="D16" s="9" t="s">
        <v>309</v>
      </c>
    </row>
    <row r="17" spans="1:4" ht="51.95" customHeight="1">
      <c r="A17" s="9" t="s">
        <v>62</v>
      </c>
      <c r="B17" s="9" t="s">
        <v>310</v>
      </c>
      <c r="C17" s="9" t="s">
        <v>311</v>
      </c>
      <c r="D17" s="9" t="s">
        <v>312</v>
      </c>
    </row>
    <row r="18" spans="1:4" ht="51.95" customHeight="1">
      <c r="A18" s="9" t="s">
        <v>66</v>
      </c>
      <c r="B18" s="9" t="s">
        <v>313</v>
      </c>
      <c r="C18" s="9" t="s">
        <v>314</v>
      </c>
      <c r="D18" s="9" t="s">
        <v>315</v>
      </c>
    </row>
    <row r="19" spans="1:4" ht="51.95" customHeight="1">
      <c r="A19" s="9" t="s">
        <v>70</v>
      </c>
      <c r="B19" s="9" t="s">
        <v>316</v>
      </c>
      <c r="C19" s="9" t="s">
        <v>317</v>
      </c>
      <c r="D19" s="9" t="s">
        <v>318</v>
      </c>
    </row>
    <row r="20" spans="1:4">
      <c r="A20" s="1"/>
      <c r="B20" s="1"/>
      <c r="C20" s="1"/>
      <c r="D20" s="1"/>
    </row>
    <row r="21" spans="1:4">
      <c r="A21" s="29" t="s">
        <v>319</v>
      </c>
      <c r="B21" s="29" t="s">
        <v>319</v>
      </c>
      <c r="C21" s="29" t="s">
        <v>319</v>
      </c>
      <c r="D21" s="29" t="s">
        <v>319</v>
      </c>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sheetData>
  <mergeCells count="4">
    <mergeCell ref="A1:D2"/>
    <mergeCell ref="A4:D4"/>
    <mergeCell ref="A11:D11"/>
    <mergeCell ref="A21:D2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showGridLines="0" workbookViewId="0">
      <selection activeCell="C10" sqref="C10"/>
    </sheetView>
  </sheetViews>
  <sheetFormatPr baseColWidth="10" defaultColWidth="9" defaultRowHeight="14.25"/>
  <cols>
    <col min="1" max="1" width="52" customWidth="1"/>
    <col min="2" max="2" width="18" customWidth="1"/>
    <col min="3" max="3" width="38" customWidth="1"/>
  </cols>
  <sheetData>
    <row r="1" spans="1:3" ht="33.950000000000003" customHeight="1">
      <c r="A1" s="22" t="s">
        <v>320</v>
      </c>
      <c r="B1" s="22" t="s">
        <v>320</v>
      </c>
      <c r="C1" s="22" t="s">
        <v>320</v>
      </c>
    </row>
    <row r="2" spans="1:3" ht="33.950000000000003" customHeight="1">
      <c r="A2" s="22" t="s">
        <v>320</v>
      </c>
      <c r="B2" s="22" t="s">
        <v>320</v>
      </c>
      <c r="C2" s="22" t="s">
        <v>320</v>
      </c>
    </row>
    <row r="3" spans="1:3">
      <c r="A3" s="1"/>
      <c r="B3" s="1"/>
      <c r="C3" s="1"/>
    </row>
    <row r="4" spans="1:3">
      <c r="A4" s="10" t="s">
        <v>321</v>
      </c>
      <c r="B4" s="10" t="s">
        <v>322</v>
      </c>
      <c r="C4" s="10" t="s">
        <v>323</v>
      </c>
    </row>
    <row r="5" spans="1:3" ht="48" customHeight="1">
      <c r="A5" s="18"/>
      <c r="B5" s="21"/>
      <c r="C5" s="18"/>
    </row>
    <row r="6" spans="1:3" ht="48" customHeight="1">
      <c r="A6" s="18"/>
      <c r="B6" s="21"/>
      <c r="C6" s="18"/>
    </row>
    <row r="7" spans="1:3" ht="48" customHeight="1">
      <c r="A7" s="18"/>
      <c r="B7" s="21"/>
      <c r="C7" s="18"/>
    </row>
    <row r="8" spans="1:3" ht="48" customHeight="1">
      <c r="A8" s="18"/>
      <c r="B8" s="21"/>
      <c r="C8" s="18"/>
    </row>
    <row r="9" spans="1:3" ht="48" customHeight="1">
      <c r="A9" s="18"/>
      <c r="B9" s="21"/>
      <c r="C9" s="18"/>
    </row>
    <row r="10" spans="1:3" ht="48" customHeight="1">
      <c r="A10" s="18"/>
      <c r="B10" s="21"/>
      <c r="C10" s="18"/>
    </row>
    <row r="11" spans="1:3" ht="48" customHeight="1">
      <c r="A11" s="18"/>
      <c r="B11" s="21"/>
      <c r="C11" s="18"/>
    </row>
    <row r="12" spans="1:3">
      <c r="A12" s="1"/>
      <c r="B12" s="1"/>
      <c r="C12" s="1"/>
    </row>
    <row r="13" spans="1:3">
      <c r="A13" s="1"/>
      <c r="B13" s="1"/>
      <c r="C13" s="1"/>
    </row>
    <row r="14" spans="1:3">
      <c r="A14" s="1"/>
      <c r="B14" s="1"/>
      <c r="C14" s="1"/>
    </row>
    <row r="15" spans="1:3">
      <c r="A15" s="1"/>
      <c r="B15" s="1"/>
      <c r="C15" s="1"/>
    </row>
    <row r="16" spans="1:3">
      <c r="A16" s="1"/>
      <c r="B16" s="1"/>
      <c r="C16" s="1"/>
    </row>
  </sheetData>
  <mergeCells count="1">
    <mergeCell ref="A1:C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Übersicht</vt:lpstr>
      <vt:lpstr>Review 7.8</vt:lpstr>
      <vt:lpstr>Eingabe- &amp; Ausgabe</vt:lpstr>
      <vt:lpstr>Maßnahmen</vt:lpstr>
      <vt:lpstr>Anhang A.8</vt:lpstr>
      <vt:lpstr>Legende &amp; Hinweise</vt:lpstr>
      <vt:lpstr>Unterschriften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Julius</dc:creator>
  <cp:lastModifiedBy>Christian Julius</cp:lastModifiedBy>
  <dcterms:created xsi:type="dcterms:W3CDTF">2026-08-05T21:51:00Z</dcterms:created>
  <dcterms:modified xsi:type="dcterms:W3CDTF">2026-08-05T21:51:00Z</dcterms:modified>
</cp:coreProperties>
</file>