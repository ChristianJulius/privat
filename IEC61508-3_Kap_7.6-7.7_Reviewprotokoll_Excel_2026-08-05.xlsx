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
    </mc:Choice>
  </mc:AlternateContent>
  <xr:revisionPtr revIDLastSave="0" documentId="13_ncr:1_{1EFB53B2-9362-4792-A072-78915F61FDCD}" xr6:coauthVersionLast="47" xr6:coauthVersionMax="47" xr10:uidLastSave="{00000000-0000-0000-0000-000000000000}"/>
  <bookViews>
    <workbookView xWindow="-120" yWindow="-120" windowWidth="29040" windowHeight="15720" xr2:uid="{00000000-000D-0000-FFFF-FFFF00000000}"/>
  </bookViews>
  <sheets>
    <sheet name="Übersicht" sheetId="1" r:id="rId1"/>
    <sheet name="Review 7.6-7.7" sheetId="2" r:id="rId2"/>
    <sheet name="Eingabe- &amp; Ausgabe" sheetId="3" r:id="rId3"/>
    <sheet name="Maßnahmen" sheetId="4" r:id="rId4"/>
    <sheet name="Anhang A.7" sheetId="5" r:id="rId5"/>
    <sheet name="Legende &amp; Hinweise" sheetId="6" r:id="rId6"/>
    <sheet name="Unterschriften"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3" l="1"/>
  <c r="H5" i="3"/>
  <c r="F5" i="3"/>
  <c r="D5" i="3"/>
  <c r="G20" i="1"/>
  <c r="E20" i="1"/>
  <c r="C20" i="1"/>
  <c r="A20" i="1"/>
  <c r="H20" i="1" s="1"/>
</calcChain>
</file>

<file path=xl/sharedStrings.xml><?xml version="1.0" encoding="utf-8"?>
<sst xmlns="http://schemas.openxmlformats.org/spreadsheetml/2006/main" count="737" uniqueCount="390">
  <si>
    <t>Reviewprotokoll IEC 61508-3 – Kapitel 7.6 und 7.7</t>
  </si>
  <si>
    <t>Strukturierte Arbeitsmappe für SIL 1 bis SIL 3 · Eingabefelder sind gelb markiert</t>
  </si>
  <si>
    <t>Reviewdaten</t>
  </si>
  <si>
    <t>Projekt / Teilprojekt</t>
  </si>
  <si>
    <t>Review-Gegenstand</t>
  </si>
  <si>
    <t>Dokument / Referenz</t>
  </si>
  <si>
    <t>Index</t>
  </si>
  <si>
    <t>SIL</t>
  </si>
  <si>
    <t>Checkliste</t>
  </si>
  <si>
    <t>IEC 61508-3: Kapitel 7.6 Software-Betriebs- und Modifikationsverfahren sowie Kapitel 7.7 Softwarevalidierung</t>
  </si>
  <si>
    <t>Ort</t>
  </si>
  <si>
    <t>Datum / Zeitraum</t>
  </si>
  <si>
    <t>Reviewleitung</t>
  </si>
  <si>
    <t>Protokollführung</t>
  </si>
  <si>
    <t>Teilnehmer</t>
  </si>
  <si>
    <t>Teilnehmer 1</t>
  </si>
  <si>
    <t>Teilnehmer 2</t>
  </si>
  <si>
    <t>Teilnehmer 3</t>
  </si>
  <si>
    <t>Teilnehmer 4</t>
  </si>
  <si>
    <t>Fortschritt und Review-Ergebnis</t>
  </si>
  <si>
    <t>Prüfpunkte</t>
  </si>
  <si>
    <t>OK</t>
  </si>
  <si>
    <t>Nicht OK</t>
  </si>
  <si>
    <t>Nicht geprüft</t>
  </si>
  <si>
    <t>Abschluss</t>
  </si>
  <si>
    <t>Gesamtergebnis</t>
  </si>
  <si>
    <t>Ergebnis / Begründung</t>
  </si>
  <si>
    <t>Zusammenfassung</t>
  </si>
  <si>
    <t>Das Dokument wurde auf konzeptionelle Fehler, inhaltliche Fehler und auf Konformität zu den Anforderungen der IEC 61508 geprüft.</t>
  </si>
  <si>
    <t>Checkliste – IEC 61508-3, Kapitel 7.6 und 7.7</t>
  </si>
  <si>
    <t>Prüfergebnis: konkrete Bewertung des Prüfpunkts. Kommentar / Nachweis: Begründung, Referenz auf Nachweise oder offene Punkte.</t>
  </si>
  <si>
    <t>Kapitel 7.6 / 7.7</t>
  </si>
  <si>
    <t>Betrieb, Modifikation und Softwarevalidierung</t>
  </si>
  <si>
    <t>17 Prüfpunkte einschließlich Ziele</t>
  </si>
  <si>
    <t>Dokumentenbezug</t>
  </si>
  <si>
    <t>Status / OK</t>
  </si>
  <si>
    <t>Nr.</t>
  </si>
  <si>
    <t>Normkapitel</t>
  </si>
  <si>
    <t>Prüffrage</t>
  </si>
  <si>
    <t>Prüfergebnis</t>
  </si>
  <si>
    <t>Kommentar / Nachweis</t>
  </si>
  <si>
    <t>E/A-Dokumente (IDs)</t>
  </si>
  <si>
    <t>Z1</t>
  </si>
  <si>
    <t>7.6.1</t>
  </si>
  <si>
    <t>Liegen die Informationen und Verfahren zur Software vor, die erforderlich sind, damit die funktionale Sicherheit des sicherheitsbezogenen E/E/PE-Systems während des Betriebs und bei Softwaremodifikationen erhalten bleibt?</t>
  </si>
  <si>
    <t>D01, D02, D12</t>
  </si>
  <si>
    <t>1</t>
  </si>
  <si>
    <t>7.6.2</t>
  </si>
  <si>
    <t>Werden für die Software-Betriebs- und Modifikationsverfahren die Anforderungen aus IEC 61508-2, Abschnitt 7.6, und aus Abschnitt 7.8 dieser Norm angewendet?</t>
  </si>
  <si>
    <t>2</t>
  </si>
  <si>
    <t>IEC 61508-2, 7.6.2.1</t>
  </si>
  <si>
    <t>Liegen Betriebs- und Instandhaltungsverfahren für das E/E/PE-System vor, die mindestens festlegen:
a) regelmäßige Maßnahmen zur Aufrechterhaltung der vorgesehenen funktionalen Sicherheit einschließlich des planmäßigen Austauschs von Elementen mit begrenzter Gebrauchsdauer;
b) notwendige Handlungen und Einschränkungen, um unsichere Zustände zu verhindern oder die Folgen eines Schadensereignisses zu mindern;
c) die Aufzeichnungen zu Systemausfällen und Anforderungsraten;
d) die Aufzeichnungen zu Audits und Tests;
e) die Instandhaltungsverfahren bei Fehlern oder Ausfällen einschließlich Diagnose, Reparatur, Revalidierung und Instandhaltungsaufzeichnungen;
f) die Aufzeichnung und Analyse der ausgeführten Instandhaltung und aufgetretener Ausfälle;
g) die erforderlichen Werkzeuge sowie deren Instandhaltung?</t>
  </si>
  <si>
    <t>D02–D08</t>
  </si>
  <si>
    <t>3</t>
  </si>
  <si>
    <t>IEC 61508-2, 7.6.2.2</t>
  </si>
  <si>
    <t>Werden die Betriebs- und Instandhaltungsverfahren fortlaufend anhand neuer Erkenntnisse aktualisiert, insbesondere anhand der Ergebnisse von Audits der funktionalen Sicherheit und Prüfungen des sicherheitsbezogenen E/E/PE-Systems?</t>
  </si>
  <si>
    <t>D02, D05, D11</t>
  </si>
  <si>
    <t>4</t>
  </si>
  <si>
    <t>IEC 61508-2, 7.6.2.3</t>
  </si>
  <si>
    <t>Wurden die regelmäßigen Instandhaltungstätigkeiten mit einer systematischen Methode festgelegt? Erfasst diese Methode nicht erkannte Ausfälle aller sicherheitsbezogenen Elemente, die die erreichte Sicherheitsintegrität verringern könnten, beispielsweise durch Fehlerbaumanalyse oder FMEA?</t>
  </si>
  <si>
    <t>D09</t>
  </si>
  <si>
    <t>5</t>
  </si>
  <si>
    <t>IEC 61508-2, 7.6.2.4</t>
  </si>
  <si>
    <t>Wurde beurteilt, welchen Einfluss die Betriebs- und Instandhaltungsverfahren des E/E/PE-Systems auf die EUC haben können?</t>
  </si>
  <si>
    <t>D10</t>
  </si>
  <si>
    <t>6</t>
  </si>
  <si>
    <t>IEC 61508-2, 7.6.2.5</t>
  </si>
  <si>
    <t>Werden zur Vermeidung von Fehlern und Ausfällen bei Betrieb und Instandhaltung angemessene Verfahren und Maßnahmen nach Tabelle B.4 der IEC 61508-2 verwendet?</t>
  </si>
  <si>
    <t>D11</t>
  </si>
  <si>
    <t>Z2</t>
  </si>
  <si>
    <t>7.7.1</t>
  </si>
  <si>
    <t>Wird nachgewiesen, dass das integrierte System mit der Spezifikation der Anforderungen an die Sicherheit der Software für den geforderten Sicherheits-Integritätslevel übereinstimmt?</t>
  </si>
  <si>
    <t>D13, D14, D31, D33–D37</t>
  </si>
  <si>
    <t>7</t>
  </si>
  <si>
    <t>7.7.2.1</t>
  </si>
  <si>
    <t>Wurde geprüft, ob die Übereinstimmung mit den Anforderungen an die sicherheitsbezogene Software bereits im Rahmen der Validierungsplanung des sicherheitsbezogenen E/E/PE-Systems nach IEC 61508-2, 7.7, nachgewiesen wurde und deshalb keine erneute Validierung erforderlich ist?</t>
  </si>
  <si>
    <t>D13, D14, D31, D32</t>
  </si>
  <si>
    <t>8</t>
  </si>
  <si>
    <t>7.7.2.2</t>
  </si>
  <si>
    <t>Wurde die Validierung so durchgeführt, wie es im Validierungsplan für die Softwareaspekte der Systemsicherheit festgelegt ist?</t>
  </si>
  <si>
    <t>D14, D16–D23, D25–D27, D31, D33–D37</t>
  </si>
  <si>
    <t>9</t>
  </si>
  <si>
    <t>7.7.2.3</t>
  </si>
  <si>
    <t>Ist während der Sicherheitsplanung dokumentiert, wie die Verantwortung für die Einhaltung der Anforderungen aus 7.7 auf die beteiligten Stellen verteilt ist?</t>
  </si>
  <si>
    <t>D15</t>
  </si>
  <si>
    <t>10</t>
  </si>
  <si>
    <t>7.7.2.4</t>
  </si>
  <si>
    <t>Sind die Ergebnisse der Validierung der Softwareaspekte der Systemsicherheit dokumentiert?</t>
  </si>
  <si>
    <t>D16, D21</t>
  </si>
  <si>
    <t>11</t>
  </si>
  <si>
    <t>7.7.2.5</t>
  </si>
  <si>
    <t>Enthält die Dokumentation für jede Sicherheitsfunktion:
a) eine chronologische Aufzeichnung der Validierungstätigkeiten;
b) die Version des verwendeten Validierungsplans für die Softwareaspekte der Systemsicherheit;
c) die durch Test oder Analyse validierte Sicherheitsfunktion mit Bezug zum Validierungsplan;
d) die verwendeten Werkzeuge und Ressourcen einschließlich der Kalibrierdaten;
e) die Ergebnisse der Validierungstätigkeiten;
f) die Abweichungen zwischen erwarteten und tatsächlichen Ergebnissen?</t>
  </si>
  <si>
    <t>D17–D22</t>
  </si>
  <si>
    <t>12</t>
  </si>
  <si>
    <t>7.7.2.6</t>
  </si>
  <si>
    <t>Sind bei Abweichungen zwischen erwarteten und tatsächlichen Ergebnissen die durchgeführten Analysen und die Entscheidung dokumentiert, ob:
a) die Validierung fortgeführt wird; oder
b) eine Modifikationsanfrage erstellt und zu einer früheren Phase des Entwicklungslebenszyklus zurückgekehrt wird?</t>
  </si>
  <si>
    <t>D22–D24</t>
  </si>
  <si>
    <t>13</t>
  </si>
  <si>
    <t>7.7.2.7</t>
  </si>
  <si>
    <t>Erfüllt die Validierung der Softwareaspekte der Systemsicherheit folgende Anforderungen:
a) Der Test ist die hauptsächliche Validierungsmethode; Analyse, Animation und Modellbildung dürfen ergänzend verwendet werden;
b) die Software wird mit simulierten Eingangssignalen des Normalbetriebs, erwarteten Ereignissen und unerwünschten Bedingungen ausgeführt, die eine Systemreaktion erfordern;
c) der Systementwickler erhält von den verantwortlichen Lieferanten oder Entwicklern alle dokumentierten Validierungsergebnisse und weiteren relevanten Unterlagen, die er zur Erfüllung der IEC 61508-1 und IEC 61508-2 benötigt?</t>
  </si>
  <si>
    <t>D13, D14, D20, D25–D27, D31</t>
  </si>
  <si>
    <t>14</t>
  </si>
  <si>
    <t>7.7.2.8</t>
  </si>
  <si>
    <t>Erfüllen die eingesetzten Softwarewerkzeuge die Anforderungen aus 7.4.4?</t>
  </si>
  <si>
    <t>D28</t>
  </si>
  <si>
    <t>15</t>
  </si>
  <si>
    <t>7.7.2.9</t>
  </si>
  <si>
    <t>Erfüllen die dokumentierten Validierungsergebnisse folgende Anforderungen:
a) Die Tests zeigen, dass die Anforderungen an die sicherheitsbezogene Software nach 7.2 ordnungsgemäß umgesetzt wurden und keine unbeabsichtigten Funktionen ausgeführt werden;
b) die Testfälle und Ergebnisse sind für spätere Analysen und die nach dem Sicherheits-Integritätslevel erforderlichen unabhängigen Beurteilungen dokumentiert;
c) die Dokumentation zeigt, ob die Software die Validierung bestanden hat oder aus welchen Gründen nicht?</t>
  </si>
  <si>
    <t>D13, D16, D21, D22, D29, D30</t>
  </si>
  <si>
    <t>Eingabe- und Ausgabedokumente für Betrieb, Modifikation und Softwarevalidierung</t>
  </si>
  <si>
    <t>Normnahes Dokumentenregister für Kapitel 7.6 und 7.7 mit Bezug zu Prüfpunkt und Normkapitel. Gelbe Zellen werden projektspezifisch ausgefüllt.</t>
  </si>
  <si>
    <t>Dokumente</t>
  </si>
  <si>
    <t>Eingaben</t>
  </si>
  <si>
    <t>Ausgaben</t>
  </si>
  <si>
    <t>Geprüft / freigegeben</t>
  </si>
  <si>
    <t>Nicht vorgelegt</t>
  </si>
  <si>
    <t>ID</t>
  </si>
  <si>
    <t>Art</t>
  </si>
  <si>
    <t>Normbegriff / Dokument</t>
  </si>
  <si>
    <t>Funktion / erwarteter Inhalt</t>
  </si>
  <si>
    <t>Bezug Prüfpunkt</t>
  </si>
  <si>
    <t>Normreferenz</t>
  </si>
  <si>
    <t>Dokumentkennung / Referenz</t>
  </si>
  <si>
    <t>Version / Index</t>
  </si>
  <si>
    <t>Status</t>
  </si>
  <si>
    <t>Verantwortlich</t>
  </si>
  <si>
    <t>Ablageort / Link</t>
  </si>
  <si>
    <t>D01</t>
  </si>
  <si>
    <t>Eingabe</t>
  </si>
  <si>
    <t>Informationen und Verfahren zur Software für Betrieb und Modifikation</t>
  </si>
  <si>
    <t>Stellt alle Informationen und Verfahren bereit, die zur Erhaltung der funktionalen Sicherheit während des Betriebs und bei Softwaremodifikationen erforderlich sind.</t>
  </si>
  <si>
    <t>Z1, 1</t>
  </si>
  <si>
    <t>IEC 61508-3, 7.6.1 und 7.6.2</t>
  </si>
  <si>
    <t>D02</t>
  </si>
  <si>
    <t>Eingabe / Ausgabe</t>
  </si>
  <si>
    <t>Betriebs- und Instandhaltungsverfahren für das E/E/PE-System</t>
  </si>
  <si>
    <t>Regelt Betrieb, regelmäßige Instandhaltung, Fehlerbehandlung, Reparatur, Revalidierung, Aufzeichnungen und erforderliche Werkzeuge.</t>
  </si>
  <si>
    <t>1, 2, 3</t>
  </si>
  <si>
    <t>IEC 61508-3, 7.6.2; IEC 61508-2, 7.6.2.1 und 7.6.2.2</t>
  </si>
  <si>
    <t>D03</t>
  </si>
  <si>
    <t>Plan für regelmäßige Maßnahmen und planmäßigen Austausch</t>
  </si>
  <si>
    <t>Legt Maßnahmen zur Aufrechterhaltung der vorgesehenen funktionalen Sicherheit und den Austausch von Elementen mit begrenzter Gebrauchsdauer fest.</t>
  </si>
  <si>
    <t>IEC 61508-2, 7.6.2.1 a)</t>
  </si>
  <si>
    <t>D04</t>
  </si>
  <si>
    <t>Ausgabe</t>
  </si>
  <si>
    <t>Aufzeichnungen zu Systemausfällen und Anforderungsraten</t>
  </si>
  <si>
    <t>Erfasst Ausfälle, Anforderungen an Sicherheitsfunktionen und die für die Betriebsbewertung erforderlichen Daten.</t>
  </si>
  <si>
    <t>IEC 61508-2, 7.6.2.1 c)</t>
  </si>
  <si>
    <t>D05</t>
  </si>
  <si>
    <t>Aufzeichnungen zu Audits und Tests</t>
  </si>
  <si>
    <t>Dokumentiert Audits der funktionalen Sicherheit und Prüfungen des sicherheitsbezogenen E/E/PE-Systems.</t>
  </si>
  <si>
    <t>2, 3</t>
  </si>
  <si>
    <t>IEC 61508-2, 7.6.2.1 d) und 7.6.2.2</t>
  </si>
  <si>
    <t>D06</t>
  </si>
  <si>
    <t>Instandhaltungsverfahren bei Fehlern oder Ausfällen</t>
  </si>
  <si>
    <t>Beschreibt Diagnose, Reparatur, Revalidierung und erforderliche Instandhaltungsaufzeichnungen.</t>
  </si>
  <si>
    <t>IEC 61508-2, 7.6.2.1 e)</t>
  </si>
  <si>
    <t>D07</t>
  </si>
  <si>
    <t>Instandhaltungsaufzeichnungen</t>
  </si>
  <si>
    <t>Dokumentiert ausgeführte Instandhaltung, Reparaturen, Revalidierungen und den wiederhergestellten Anlagenzustand.</t>
  </si>
  <si>
    <t>IEC 61508-2, 7.6.2.1 e), f)</t>
  </si>
  <si>
    <t>D08</t>
  </si>
  <si>
    <t>Aufzeichnung und Analyse der Instandhaltung und aufgetretener Ausfälle</t>
  </si>
  <si>
    <t>Dient der fortlaufenden Auswertung und Aktualisierung der Betriebs- und Instandhaltungsverfahren.</t>
  </si>
  <si>
    <t>IEC 61508-2, 7.6.2.1 f) und 7.6.2.2</t>
  </si>
  <si>
    <t>Systematische Methode zur Festlegung regelmäßiger Instandhaltungstätigkeiten</t>
  </si>
  <si>
    <t>Erfasst nicht erkannte Ausfälle sicherheitsbezogener Elemente, beispielsweise durch Fehlerbaumanalyse oder FMEA.</t>
  </si>
  <si>
    <t>Beurteilung des Einflusses der Betriebs- und Instandhaltungsverfahren auf die EUC</t>
  </si>
  <si>
    <t>Bewertet mögliche Auswirkungen der Verfahren auf die zu steuernde Einrichtung und deren sichere Betriebsbedingungen.</t>
  </si>
  <si>
    <t>Nachweis angemessener Verfahren und Maßnahmen für Betrieb und Instandhaltung</t>
  </si>
  <si>
    <t>Dokumentiert die Auswahl und Anwendung von Verfahren und Maßnahmen zur Vermeidung von Fehlern und Ausfällen.</t>
  </si>
  <si>
    <t>3, 6</t>
  </si>
  <si>
    <t>IEC 61508-2, 7.6.2.5 und Tabelle B.4</t>
  </si>
  <si>
    <t>D12</t>
  </si>
  <si>
    <t>Verfahren zur Modifikation der Software</t>
  </si>
  <si>
    <t>Verweist für Softwaremodifikationen auf die geregelten Verfahren und Nachweise nach Kapitel 7.8.</t>
  </si>
  <si>
    <t>IEC 61508-3, 7.6.2 und 7.8</t>
  </si>
  <si>
    <t>D13</t>
  </si>
  <si>
    <t>Spezifikation der Anforderungen an die Sicherheit der Software</t>
  </si>
  <si>
    <t>Bezugsgrundlage für den Nachweis, dass das integrierte System die Anforderungen für den geforderten Sicherheits-Integritätslevel erfüllt.</t>
  </si>
  <si>
    <t>Z2, 7, 13, 15</t>
  </si>
  <si>
    <t>IEC 61508-3, 7.7.1, 7.7.2.1, 7.7.2.7 und 7.7.2.9</t>
  </si>
  <si>
    <t>D14</t>
  </si>
  <si>
    <t>Validierungsplan für die Softwareaspekte der Systemsicherheit</t>
  </si>
  <si>
    <t>Legt Validierungsmethoden, Tätigkeiten, Testfälle, Akzeptanzkriterien, Verantwortlichkeiten und erforderliche Nachweise fest.</t>
  </si>
  <si>
    <t>Z2, 7, 8, 11, 13</t>
  </si>
  <si>
    <t>IEC 61508-3, 7.7.2.1, 7.7.2.2, 7.7.2.5 und 7.7.2.7</t>
  </si>
  <si>
    <t>Dokumentierte Verteilung der Verantwortung während der Sicherheitsplanung</t>
  </si>
  <si>
    <t>Ordnet die Verantwortung für die Einhaltung der Anforderungen aus 7.7 den beteiligten Stellen zu.</t>
  </si>
  <si>
    <t>IEC 61508-3, 7.7.2.3</t>
  </si>
  <si>
    <t>D16</t>
  </si>
  <si>
    <t>Ergebnisse der Validierung der Softwareaspekte der Systemsicherheit</t>
  </si>
  <si>
    <t>Dokumentiert die ausgeführten Validierungstätigkeiten, Ergebnisse, Abweichungen und das Validierungsurteil.</t>
  </si>
  <si>
    <t>10, 15</t>
  </si>
  <si>
    <t>IEC 61508-3, 7.7.2.4 und 7.7.2.9</t>
  </si>
  <si>
    <t>D17</t>
  </si>
  <si>
    <t>Chronologische Aufzeichnung der Validierungstätigkeiten je Sicherheitsfunktion</t>
  </si>
  <si>
    <t>Stellt Ablauf, Reihenfolge und Abschluss der Validierungstätigkeiten nachvollziehbar dar.</t>
  </si>
  <si>
    <t>IEC 61508-3, 7.7.2.5 a)</t>
  </si>
  <si>
    <t>D18</t>
  </si>
  <si>
    <t>Version des verwendeten Validierungsplans</t>
  </si>
  <si>
    <t>Kennzeichnet die für die Validierung verbindliche und freigegebene Planversion.</t>
  </si>
  <si>
    <t>IEC 61508-3, 7.7.2.5 b)</t>
  </si>
  <si>
    <t>D19</t>
  </si>
  <si>
    <t>Zuordnung der validierten Sicherheitsfunktion zum Validierungsplan</t>
  </si>
  <si>
    <t>Verknüpft jede durch Test oder Analyse validierte Sicherheitsfunktion mit der vorgesehenen Tätigkeit und dem Akzeptanzkriterium.</t>
  </si>
  <si>
    <t>IEC 61508-3, 7.7.2.5 c)</t>
  </si>
  <si>
    <t>D20</t>
  </si>
  <si>
    <t>Aufzeichnung der verwendeten Werkzeuge und Ressourcen einschließlich Kalibrierdaten</t>
  </si>
  <si>
    <t>Dokumentiert Werkzeuge, Testmittel, Ressourcen, Versionen und erforderliche Kalibrierinformationen.</t>
  </si>
  <si>
    <t>11, 13</t>
  </si>
  <si>
    <t>IEC 61508-3, 7.7.2.5 d) und 7.7.2.7</t>
  </si>
  <si>
    <t>D21</t>
  </si>
  <si>
    <t>Ergebnisse der Validierungstätigkeiten</t>
  </si>
  <si>
    <t>Enthält Soll-/Ist-Ergebnisse, Bewertung und Bezug zu Sicherheitsfunktion, Plan und Systemkonfiguration.</t>
  </si>
  <si>
    <t>10, 11, 15</t>
  </si>
  <si>
    <t>IEC 61508-3, 7.7.2.5 e) und 7.7.2.9</t>
  </si>
  <si>
    <t>D22</t>
  </si>
  <si>
    <t>Abweichungen zwischen erwarteten und tatsächlichen Ergebnissen</t>
  </si>
  <si>
    <t>Erfasst sämtliche Abweichungen, deren sicherheitstechnische Bedeutung und den Bearbeitungsstatus.</t>
  </si>
  <si>
    <t>11, 12, 15</t>
  </si>
  <si>
    <t>IEC 61508-3, 7.7.2.5 f), 7.7.2.6 und 7.7.2.9</t>
  </si>
  <si>
    <t>D23</t>
  </si>
  <si>
    <t>Analysen und Entscheidungen zu Validierungsabweichungen</t>
  </si>
  <si>
    <t>Begründet, ob die Validierung fortgeführt oder eine Modifikationsanfrage erstellt und in eine frühere Lebenszyklusphase zurückgekehrt wird.</t>
  </si>
  <si>
    <t>8, 12</t>
  </si>
  <si>
    <t>IEC 61508-3, 7.7.2.6</t>
  </si>
  <si>
    <t>D24</t>
  </si>
  <si>
    <t>Modifikationsanfrage aus der Validierung</t>
  </si>
  <si>
    <t>Dokumentiert die erforderliche Änderung und die Rückkehr zu einer angemessenen früheren Phase des Entwicklungslebenszyklus.</t>
  </si>
  <si>
    <t>IEC 61508-3, 7.7.2.6 b) und 7.8</t>
  </si>
  <si>
    <t>D25</t>
  </si>
  <si>
    <t>Validierungstestfälle und simulierte Eingangssignale</t>
  </si>
  <si>
    <t>Deckt Normalbetrieb, erwartete Ereignisse und unerwünschte Bedingungen ab, die eine Systemreaktion erfordern.</t>
  </si>
  <si>
    <t>8, 13</t>
  </si>
  <si>
    <t>IEC 61508-3, 7.7.2.2 und 7.7.2.7 a), b)</t>
  </si>
  <si>
    <t>D26</t>
  </si>
  <si>
    <t>Dokumentierte Validierungsergebnisse von Lieferanten oder Entwicklern</t>
  </si>
  <si>
    <t>Stellt dem Systementwickler alle für die Erfüllung der IEC 61508-1 und IEC 61508-2 erforderlichen Nachweise bereit.</t>
  </si>
  <si>
    <t>IEC 61508-3, 7.7.2.7 c)</t>
  </si>
  <si>
    <t>D27</t>
  </si>
  <si>
    <t>Weitere relevante Unterlagen von Lieferanten oder Entwicklern</t>
  </si>
  <si>
    <t>Umfasst ergänzende Anforderungen, Schnittstellen-, Konfigurations-, Werkzeug- und Testunterlagen.</t>
  </si>
  <si>
    <t>Nachweis der Eignung der eingesetzten Softwarewerkzeuge</t>
  </si>
  <si>
    <t>Belegt die Erfüllung der Anforderungen für Softwarewerkzeuge nach 7.4.4.</t>
  </si>
  <si>
    <t>IEC 61508-3, 7.7.2.8 und 7.4.4</t>
  </si>
  <si>
    <t>D29</t>
  </si>
  <si>
    <t>Dokumentierte Testfälle und Testergebnisse für spätere Analysen und unabhängige Beurteilungen</t>
  </si>
  <si>
    <t>Bewahrt Testfälle, Konfigurationen, Rohdaten und Ergebnisse in einem für spätere Analysen geeigneten Umfang auf.</t>
  </si>
  <si>
    <t>IEC 61508-3, 7.7.2.9 b)</t>
  </si>
  <si>
    <t>D30</t>
  </si>
  <si>
    <t>Validierungsurteil und validierte Software</t>
  </si>
  <si>
    <t>Dokumentiert, ob die Software die Validierung bestanden hat oder aus welchen Gründen nicht, und kennzeichnet die validierte Version.</t>
  </si>
  <si>
    <t>Z2, 15</t>
  </si>
  <si>
    <t>IEC 61508-3, 7.7.2.9 c)</t>
  </si>
  <si>
    <t>D31</t>
  </si>
  <si>
    <t>Zielkonfiguration des integrierten Systems und der Software</t>
  </si>
  <si>
    <t>Kennzeichnet die tatsächlich validierte Hardware-, Software-, Daten- und Schnittstellenkonfiguration.</t>
  </si>
  <si>
    <t>Z2, 7, 8, 13</t>
  </si>
  <si>
    <t>IEC 61508-3, 7.7.1 und 7.7.2</t>
  </si>
  <si>
    <t>D32</t>
  </si>
  <si>
    <t>Nachweis einer bereits erfolgten Validierung im Rahmen des sicherheitsbezogenen E/E/PE-Systems</t>
  </si>
  <si>
    <t>Belegt, ob die Übereinstimmung bereits nach IEC 61508-2, 7.7 nachgewiesen wurde und keine erneute Validierung erforderlich ist.</t>
  </si>
  <si>
    <t>IEC 61508-3, 7.7.2.1; IEC 61508-2, 7.7</t>
  </si>
  <si>
    <t>D33</t>
  </si>
  <si>
    <t>Spezifikation des Integrationstests der Softwarearchitektur</t>
  </si>
  <si>
    <t>Vorgelagerter Integrationsnachweis als Bezugsgrundlage für die Validierung des integrierten Systems.</t>
  </si>
  <si>
    <t>Z2, 8</t>
  </si>
  <si>
    <t>Quellprotokoll, Eingabe/Ausgabe-Tabelle; fachlicher Bezug IEC 61508-3, 7.4.8 und 7.5</t>
  </si>
  <si>
    <t>D34</t>
  </si>
  <si>
    <t>Spezifikation des System-Integrationstests der Software (SW-SITS)</t>
  </si>
  <si>
    <t>Beschreibt Systemintegrationsprüfungen, Testumgebung, Testfälle und Akzeptanzkriterien.</t>
  </si>
  <si>
    <t>D35</t>
  </si>
  <si>
    <t>Ergebnisse des Tests der Integration der Softwarearchitektur</t>
  </si>
  <si>
    <t>Vorgelagerter Nachweis des korrekten Zusammenwirkens der Softwarearchitektur-Komponenten.</t>
  </si>
  <si>
    <t>Quellprotokoll, Eingabe/Ausgabe-Tabelle; fachlicher Bezug IEC 61508-3, 7.4.8</t>
  </si>
  <si>
    <t>D36</t>
  </si>
  <si>
    <t>Ergebnisse des Tests der Integration der programmierbaren Elektronik</t>
  </si>
  <si>
    <t>Vorgelagerter Nachweis der Integration von Hardware und Software der programmierbaren Elektronik.</t>
  </si>
  <si>
    <t>Quellprotokoll, Eingabe/Ausgabe-Tabelle; fachlicher Bezug IEC 61508-3, 7.5</t>
  </si>
  <si>
    <t>D37</t>
  </si>
  <si>
    <t>Verifizierte und getestete integrierte programmierbare Elektronik</t>
  </si>
  <si>
    <t>Freigegebener Integrationsstand als Validierungsgegenstand.</t>
  </si>
  <si>
    <t>Quellprotokoll, Eingabe/Ausgabe-Tabelle; fachlicher Bezug IEC 61508-3, 7.5 und 7.7</t>
  </si>
  <si>
    <t>Review-Ergebnisse und durchzuführende Maßnahmen</t>
  </si>
  <si>
    <t>A = Aufgabe · I = Information · B = Beschluss. Der Bezug zum Prüfpunkt ermöglicht die direkte Rückverfolgung.</t>
  </si>
  <si>
    <t>Typ</t>
  </si>
  <si>
    <t>Review-Ergebnis / Maßnahme</t>
  </si>
  <si>
    <t>Fällig am</t>
  </si>
  <si>
    <t>M-01</t>
  </si>
  <si>
    <t>Offen</t>
  </si>
  <si>
    <t>M-02</t>
  </si>
  <si>
    <t>M-03</t>
  </si>
  <si>
    <t>M-04</t>
  </si>
  <si>
    <t>M-05</t>
  </si>
  <si>
    <t>M-06</t>
  </si>
  <si>
    <t>M-07</t>
  </si>
  <si>
    <t>M-08</t>
  </si>
  <si>
    <t>M-09</t>
  </si>
  <si>
    <t>M-10</t>
  </si>
  <si>
    <t>M-11</t>
  </si>
  <si>
    <t>M-12</t>
  </si>
  <si>
    <t>M-13</t>
  </si>
  <si>
    <t>M-14</t>
  </si>
  <si>
    <t>M-15</t>
  </si>
  <si>
    <t>M-16</t>
  </si>
  <si>
    <t>M-17</t>
  </si>
  <si>
    <t>M-18</t>
  </si>
  <si>
    <t>M-19</t>
  </si>
  <si>
    <t>M-20</t>
  </si>
  <si>
    <t>Tabelle A.7 – Softwareaspekte zur Validierung der Sicherheit des Systems (siehe 7.7)</t>
  </si>
  <si>
    <t>Normnahe Erläuterungen und vollständige Referenzen; Anwendbarkeit für SIL 1 bis SIL 3.</t>
  </si>
  <si>
    <t>Verfahren / Maßnahme</t>
  </si>
  <si>
    <t>Siehe</t>
  </si>
  <si>
    <t>SIL 1</t>
  </si>
  <si>
    <t>SIL 2</t>
  </si>
  <si>
    <t>SIL 3</t>
  </si>
  <si>
    <t>Erläuterung</t>
  </si>
  <si>
    <t>Statistische Tests</t>
  </si>
  <si>
    <t>C.5.1</t>
  </si>
  <si>
    <t>O</t>
  </si>
  <si>
    <t>+</t>
  </si>
  <si>
    <t>++</t>
  </si>
  <si>
    <t>Statistische Tests dienen einer quantitativen Aussage über die Zuverlässigkeit der Software, etwa zur Versagenswahrscheinlichkeit bei Anforderung oder über eine festgelegte Zeit. Damit die Aussage belastbar ist, müssen Betriebsprofil, Auswahl und Anzahl der Testfälle, Vertrauens- und Signifikanzniveau sowie die Auswertungsmethode vorab festgelegt sein. Der Nachweis umfasst die mathematischen Voraussetzungen, die repräsentative Testumgebung und die vollständigen Roh- und Auswertungsdaten.</t>
  </si>
  <si>
    <t>IEC 61508-7, C.5.1; IEC 61508-3, Tabelle A.7</t>
  </si>
  <si>
    <t>Simulation des Prozesses</t>
  </si>
  <si>
    <t>C.5.18</t>
  </si>
  <si>
    <t>Bei der Prozesssimulation wird die reale EUC oder ihre Umgebung durch Software oder eine Hardware-/Software-Kombination glaubwürdig nachgebildet. Die Simulation muss realistische Eingaben liefern, auf die Ausgaben des Prüflings wie die reale Anlage reagieren und auch Störungen sowie Bedienereingriffe abbilden können. Zu dokumentieren sind Simulationsmodell, Modellgrenzen, Schnittstellen, Szenarien, erwartete Reaktionen und die Begründung, warum die Nachbildung für die Validierung ausreichend repräsentativ ist.</t>
  </si>
  <si>
    <t>IEC 61508-7, C.5.18; IEC 61508-3, Tabelle A.7</t>
  </si>
  <si>
    <t>Modellbildung</t>
  </si>
  <si>
    <t>Tabelle B.5</t>
  </si>
  <si>
    <t>Durch Modellbildung wird das geforderte Verhalten der Software und ihrer Umgebung in einer besser analysierbaren Darstellung beschrieben. Je nach Fragestellung können Datenfluss- und Strukturdiagramme, Zustandsautomaten, formale Modelle, zeitbehaftete Petri-Netze, Leistungsmodelle oder Prototypen verwendet werden. Im Review müssen Modellzweck, Semantik, Annahmen, Abdeckungsgrenzen, Bezug zu den Sicherheitsanforderungen und die aus dem Modell abgeleiteten Validierungsergebnisse erkennbar sein.</t>
  </si>
  <si>
    <t>IEC 61508-3, Tabelle B.5; IEC 61508-7, C.2.2, C.2.3, B.2.2, B.2.3.2, B.2.3.3, C.2.4, C.5.17 und C.5.20</t>
  </si>
  <si>
    <t>Funktionstest und Black-Box-Test</t>
  </si>
  <si>
    <t>B.5.1, B.5.2, Tabelle B.3</t>
  </si>
  <si>
    <t>Funktionstest und Black-Box-Test prüfen das von außen sichtbare Verhalten gegen die Software-Sicherheitsanforderungen. Die Testfälle werden aus der Spezifikation abgeleitet und umfassen Normalbetrieb, relevante Betriebsarten, Grenzwerte, ungültige Eingaben, erwartete Ereignisse und unerwünschte Bedingungen. Erforderliche Nachweise sind eine eindeutige Soll-/Ist-Bewertung, die verwendete Systemkonfiguration sowie die Dokumentation aller Abweichungen und Korrekturen.</t>
  </si>
  <si>
    <t>IEC 61508-7, B.5.1 und B.5.2; IEC 61508-3, Tabelle B.3 und Tabelle A.7</t>
  </si>
  <si>
    <t>Vorwärtsverfolgbarkeit von der Spezifikation der Anforderungen an die Sicherheit der Software zum Validierungsplan der Sicherheit der Software</t>
  </si>
  <si>
    <t>C.2.11</t>
  </si>
  <si>
    <t>Die Vorwärtsverfolgbarkeit zeigt für jede Software-Sicherheitsanforderung, wo und wie sie im Validierungsplan behandelt wird. Jede Anforderung benötigt mindestens eine nachvollziehbare Validierungstätigkeit oder eine begründete andere Nachweisform. Eine Verfolgbarkeitsmatrix muss Anforderungskennung, Validierungsmethode, Testfall beziehungsweise Analyse, Akzeptanzkriterium und Ergebnis verbinden.</t>
  </si>
  <si>
    <t>IEC 61508-7, C.2.11; IEC 61508-3, Tabelle A.7</t>
  </si>
  <si>
    <t>Rückwärtsverfolgbarkeit vom Validierungsplan der Sicherheit der Software zur Spezifikation der Anforderungen an die Sicherheit der Software</t>
  </si>
  <si>
    <t>Die Rückwärtsverfolgbarkeit zeigt, dass jede Tätigkeit und jeder Test im Validierungsplan durch eine freigegebene Software-Sicherheitsanforderung begründet ist. Nicht zuordenbare Prüfungen können auf unnötige Komplexität, veraltete Inhalte oder eine fehlende Anforderung hinweisen. Im Review ist die bidirektionale Zuordnung vollständig zu prüfen; Ausnahmen müssen begründet, bewertet und freigegeben sein.</t>
  </si>
  <si>
    <t>Legende und Anwendungshinweise</t>
  </si>
  <si>
    <t>Empfehlungsgrade nach IEC 61508</t>
  </si>
  <si>
    <t>Kennzeichen</t>
  </si>
  <si>
    <t>Bedeutung</t>
  </si>
  <si>
    <t>Anwendung im Review</t>
  </si>
  <si>
    <t>Geltungsbereich</t>
  </si>
  <si>
    <t>Für diesen SIL besonders empfohlen</t>
  </si>
  <si>
    <t>Bevorzugt anzuwenden; Nichtanwendung nachvollziehbar begründen.</t>
  </si>
  <si>
    <t>SIL 1 bis SIL 3 gemäß Tabelle A.9</t>
  </si>
  <si>
    <t>Für diesen SIL empfohlen</t>
  </si>
  <si>
    <t>Anwendung einplanen oder eine geeignete Alternative begründen.</t>
  </si>
  <si>
    <t>Keine Empfehlung für oder gegen die Anwendung</t>
  </si>
  <si>
    <t>Einsatz projektspezifisch bewerten und dokumentieren.</t>
  </si>
  <si>
    <t>--</t>
  </si>
  <si>
    <t>Für diesen SIL nicht empfohlen</t>
  </si>
  <si>
    <t>Nur mit belastbarer Begründung und geeigneten zusätzlichen Maßnahmen einsetzen.</t>
  </si>
  <si>
    <t>Arbeitsweise</t>
  </si>
  <si>
    <t>Schritt</t>
  </si>
  <si>
    <t>Vorgehen</t>
  </si>
  <si>
    <t>Dokumentation</t>
  </si>
  <si>
    <t>Hinweis</t>
  </si>
  <si>
    <t>Reviewdaten auf dem Blatt „Übersicht“ ausfüllen.</t>
  </si>
  <si>
    <t>Projekt, Dokument, SIL, Teilnehmer und Termin erfassen.</t>
  </si>
  <si>
    <t>Gelbe Zellen sind Eingabefelder.</t>
  </si>
  <si>
    <t>Eingabe- und Ausgabedokumente registrieren.</t>
  </si>
  <si>
    <t>Dokumentkennung, Version, Status, Verantwortlichen und Ablageort eintragen.</t>
  </si>
  <si>
    <t>Die IDs D01 bis D37 sind für Kapitel 7.6 und 7.7 vorbereitet.</t>
  </si>
  <si>
    <t>Jede Prüffrage auf dem Blatt „Review 7.6-7.7“ bewerten.</t>
  </si>
  <si>
    <t>Prüfergebnis konkret formulieren und die zugehörigen Dokument-IDs prüfen.</t>
  </si>
  <si>
    <t>Status / OK über das Auswahlfeld setzen.</t>
  </si>
  <si>
    <t>Abweichungen oder Beschlüsse auf „Maßnahmen“ übernehmen.</t>
  </si>
  <si>
    <t>Prüfpunkt, Verantwortlichen, Fälligkeit und Status eintragen.</t>
  </si>
  <si>
    <t>IDs M-01 bis M-20 sind vorbereitet.</t>
  </si>
  <si>
    <t>Verfahren aus „Anhang A.7“ SIL-bezogen berücksichtigen.</t>
  </si>
  <si>
    <t>Erläuterungen und Normreferenzen als Prüfhilfe verwenden.</t>
  </si>
  <si>
    <t>SIL 4 ist nicht Bestandteil dieser Arbeitsmappe.</t>
  </si>
  <si>
    <t>Gesamtergebnis auf „Übersicht“ festlegen.</t>
  </si>
  <si>
    <t>Ergebnis, Begründung und Zusammenfassung eintragen.</t>
  </si>
  <si>
    <t>Fortschrittskennzahlen werden automatisch berechnet.</t>
  </si>
  <si>
    <t>Teilnehmer auf „Unterschriften“ dokumentieren.</t>
  </si>
  <si>
    <t>Name, Funktion, Datum und Bestätigung eintragen.</t>
  </si>
  <si>
    <t>Kann digital oder nach Ausdruck verwendet werden.</t>
  </si>
  <si>
    <t>Quelle: IEC61508-3_Kap_7.6-7.7_Reviewprotokoll_Endfassung_2026-08-05.docx</t>
  </si>
  <si>
    <t>Anhang Formblatt Unterschriften</t>
  </si>
  <si>
    <t>Name, Vorname, Abteilung, Funktion</t>
  </si>
  <si>
    <t>Datum</t>
  </si>
  <si>
    <t>Unterschrift / Bestätigung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</si>
</sst>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font>
      <sz val="11"/>
      <name val="Carlito"/>
    </font>
    <font>
      <sz val="10"/>
      <color rgb="FF222222"/>
      <name val="Aptos"/>
    </font>
    <font>
      <b/>
      <sz val="18"/>
      <color rgb="FFFFFFFF"/>
      <name val="Aptos Display"/>
    </font>
    <font>
      <i/>
      <sz val="10"/>
      <color rgb="FF17365D"/>
      <name val="Aptos"/>
    </font>
    <font>
      <b/>
      <sz val="11"/>
      <color rgb="FFFFFFFF"/>
      <name val="Aptos"/>
    </font>
    <font>
      <b/>
      <sz val="10"/>
      <color rgb="FF17365D"/>
      <name val="Aptos"/>
    </font>
    <font>
      <b/>
      <sz val="10"/>
      <color rgb="FFFFFFFF"/>
      <name val="Aptos"/>
    </font>
    <font>
      <b/>
      <sz val="14"/>
      <color rgb="FF17365D"/>
      <name val="Aptos"/>
    </font>
    <font>
      <b/>
      <sz val="11"/>
      <color rgb="FF17365D"/>
      <name val="Aptos"/>
    </font>
    <font>
      <b/>
      <sz val="12"/>
      <color rgb="FF17365D"/>
      <name val="Aptos"/>
    </font>
    <font>
      <i/>
      <sz val="9"/>
      <color rgb="FF595959"/>
      <name val="Aptos"/>
    </font>
    <font>
      <sz val="11"/>
      <name val="Carlito"/>
    </font>
  </fonts>
  <fills count="13">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EAF3F8"/>
      </patternFill>
    </fill>
    <fill>
      <patternFill patternType="solid">
        <fgColor rgb="FFFFF2CC"/>
      </patternFill>
    </fill>
    <fill>
      <patternFill patternType="solid">
        <fgColor rgb="FF5B9BD5"/>
      </patternFill>
    </fill>
    <fill>
      <patternFill patternType="solid">
        <fgColor rgb="FFFFFFFF"/>
      </patternFill>
    </fill>
    <fill>
      <patternFill patternType="solid">
        <fgColor rgb="FFE7E6E6"/>
      </patternFill>
    </fill>
    <fill>
      <patternFill patternType="solid">
        <fgColor rgb="FFFFFFFF"/>
      </patternFill>
    </fill>
    <fill>
      <patternFill patternType="solid">
        <fgColor rgb="FFFFF2CC"/>
      </patternFill>
    </fill>
    <fill>
      <patternFill patternType="solid">
        <fgColor rgb="FFEAF3F8"/>
      </patternFill>
    </fill>
  </fills>
  <borders count="3">
    <border>
      <left/>
      <right/>
      <top/>
      <bottom/>
      <diagonal/>
    </border>
    <border>
      <left style="thin">
        <color rgb="FFB4C6D7"/>
      </left>
      <right style="thin">
        <color rgb="FFB4C6D7"/>
      </right>
      <top style="thin">
        <color rgb="FFB4C6D7"/>
      </top>
      <bottom style="thin">
        <color rgb="FFB4C6D7"/>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11" fillId="0" borderId="0"/>
  </cellStyleXfs>
  <cellXfs count="29">
    <xf numFmtId="0" fontId="0" fillId="0" borderId="0" xfId="0"/>
    <xf numFmtId="0" fontId="1" fillId="0" borderId="0" xfId="1" applyFont="1" applyAlignment="1">
      <alignment vertical="top"/>
    </xf>
    <xf numFmtId="0" fontId="5" fillId="5" borderId="1" xfId="1" applyFont="1" applyFill="1" applyBorder="1" applyAlignment="1">
      <alignment vertical="center"/>
    </xf>
    <xf numFmtId="0" fontId="1" fillId="6" borderId="1" xfId="1" applyFont="1" applyFill="1" applyBorder="1" applyAlignment="1">
      <alignment vertical="top" wrapText="1"/>
    </xf>
    <xf numFmtId="164" fontId="1" fillId="6" borderId="1" xfId="1" applyNumberFormat="1" applyFont="1" applyFill="1" applyBorder="1" applyAlignment="1">
      <alignment vertical="top" wrapText="1"/>
    </xf>
    <xf numFmtId="0" fontId="6" fillId="7" borderId="2" xfId="1" applyFont="1" applyFill="1" applyBorder="1" applyAlignment="1">
      <alignment horizontal="center" vertical="center"/>
    </xf>
    <xf numFmtId="0" fontId="7" fillId="5" borderId="1" xfId="1" applyFont="1" applyFill="1" applyBorder="1" applyAlignment="1">
      <alignment horizontal="center" vertical="center"/>
    </xf>
    <xf numFmtId="9" fontId="7" fillId="5" borderId="1" xfId="1" applyNumberFormat="1" applyFont="1" applyFill="1" applyBorder="1" applyAlignment="1">
      <alignment horizontal="center" vertical="center"/>
    </xf>
    <xf numFmtId="0" fontId="4" fillId="4" borderId="2" xfId="1" applyFont="1" applyFill="1" applyBorder="1" applyAlignment="1">
      <alignment vertical="center"/>
    </xf>
    <xf numFmtId="0" fontId="1" fillId="0" borderId="0" xfId="1" applyFont="1" applyAlignment="1">
      <alignment vertical="top" wrapText="1"/>
    </xf>
    <xf numFmtId="0" fontId="1" fillId="0" borderId="1" xfId="1" applyFont="1" applyBorder="1" applyAlignment="1">
      <alignment vertical="top" wrapText="1"/>
    </xf>
    <xf numFmtId="0" fontId="1" fillId="5" borderId="1" xfId="1" applyFont="1" applyFill="1" applyBorder="1" applyAlignment="1">
      <alignment vertical="top" wrapText="1"/>
    </xf>
    <xf numFmtId="0" fontId="1" fillId="8" borderId="1" xfId="1" applyFont="1" applyFill="1" applyBorder="1" applyAlignment="1">
      <alignment horizontal="center" vertical="top" wrapText="1"/>
    </xf>
    <xf numFmtId="0" fontId="8" fillId="5" borderId="1" xfId="1" applyFont="1" applyFill="1" applyBorder="1" applyAlignment="1">
      <alignment horizontal="center" vertical="center"/>
    </xf>
    <xf numFmtId="0" fontId="1" fillId="8" borderId="1" xfId="1" applyFont="1" applyFill="1" applyBorder="1" applyAlignment="1">
      <alignment horizontal="left" vertical="top" wrapText="1"/>
    </xf>
    <xf numFmtId="0" fontId="9" fillId="0" borderId="0" xfId="1" applyFont="1" applyAlignment="1">
      <alignment horizontal="center" vertical="top" wrapText="1"/>
    </xf>
    <xf numFmtId="0" fontId="1" fillId="10" borderId="1" xfId="1" applyFont="1" applyFill="1" applyBorder="1" applyAlignment="1">
      <alignment horizontal="center" vertical="top" wrapText="1"/>
    </xf>
    <xf numFmtId="0" fontId="1" fillId="10" borderId="1" xfId="1" applyFont="1" applyFill="1" applyBorder="1" applyAlignment="1">
      <alignment vertical="top" wrapText="1"/>
    </xf>
    <xf numFmtId="0" fontId="1" fillId="11" borderId="1" xfId="1" applyFont="1" applyFill="1" applyBorder="1" applyAlignment="1">
      <alignment vertical="top" wrapText="1"/>
    </xf>
    <xf numFmtId="0" fontId="1" fillId="12" borderId="1" xfId="1" applyFont="1" applyFill="1" applyBorder="1" applyAlignment="1">
      <alignment vertical="top" wrapText="1"/>
    </xf>
    <xf numFmtId="0" fontId="1" fillId="11" borderId="1" xfId="1" applyFont="1" applyFill="1" applyBorder="1" applyAlignment="1">
      <alignment horizontal="center" vertical="top" wrapText="1"/>
    </xf>
    <xf numFmtId="0" fontId="2" fillId="2" borderId="0" xfId="1" applyFont="1" applyFill="1" applyAlignment="1">
      <alignment horizontal="left" vertical="center"/>
    </xf>
    <xf numFmtId="0" fontId="3" fillId="3" borderId="0" xfId="1" applyFont="1" applyFill="1" applyAlignment="1">
      <alignment vertical="center"/>
    </xf>
    <xf numFmtId="0" fontId="4" fillId="4" borderId="0" xfId="1" applyFont="1" applyFill="1" applyAlignment="1">
      <alignment vertical="center"/>
    </xf>
    <xf numFmtId="0" fontId="1" fillId="6" borderId="1" xfId="1" applyFont="1" applyFill="1" applyBorder="1" applyAlignment="1">
      <alignment vertical="top" wrapText="1"/>
    </xf>
    <xf numFmtId="164" fontId="1" fillId="6" borderId="1" xfId="1" applyNumberFormat="1" applyFont="1" applyFill="1" applyBorder="1" applyAlignment="1">
      <alignment vertical="top" wrapText="1"/>
    </xf>
    <xf numFmtId="0" fontId="3" fillId="3" borderId="0" xfId="1" applyFont="1" applyFill="1" applyAlignment="1">
      <alignment vertical="center" wrapText="1"/>
    </xf>
    <xf numFmtId="0" fontId="3" fillId="3" borderId="0" xfId="1" applyFont="1" applyFill="1" applyAlignment="1">
      <alignment vertical="top"/>
    </xf>
    <xf numFmtId="0" fontId="10" fillId="9" borderId="0" xfId="1" applyFont="1" applyFill="1" applyAlignment="1">
      <alignment vertical="top"/>
    </xf>
  </cellXfs>
  <cellStyles count="2">
    <cellStyle name="Normal" xfId="1" xr:uid="{00000000-0005-0000-0000-000000000000}"/>
    <cellStyle name="Standard" xfId="0" builtinId="0"/>
  </cellStyles>
  <dxfs count="16">
    <dxf>
      <font>
        <color rgb="FF9C0006"/>
      </font>
      <fill>
        <patternFill>
          <bgColor rgb="FFF4CCCC"/>
        </patternFill>
      </fill>
    </dxf>
    <dxf>
      <font>
        <b/>
        <color rgb="FF215E21"/>
      </font>
      <fill>
        <patternFill>
          <bgColor rgb="FFC6E0B4"/>
        </patternFill>
      </fill>
    </dxf>
    <dxf>
      <font>
        <color rgb="FF9C0006"/>
      </font>
      <fill>
        <patternFill>
          <bgColor rgb="FFF4CCCC"/>
        </patternFill>
      </fill>
    </dxf>
    <dxf>
      <font>
        <b/>
        <color rgb="FF215E21"/>
      </font>
      <fill>
        <patternFill>
          <bgColor rgb="FFC6E0B4"/>
        </patternFill>
      </fill>
    </dxf>
    <dxf>
      <font>
        <b/>
        <color rgb="FF17365D"/>
      </font>
      <fill>
        <patternFill>
          <bgColor rgb="FFD9EAF7"/>
        </patternFill>
      </fill>
    </dxf>
    <dxf>
      <font>
        <b/>
        <color rgb="FF5F497A"/>
      </font>
      <fill>
        <patternFill>
          <bgColor rgb="FFE4DFEC"/>
        </patternFill>
      </fill>
    </dxf>
    <dxf>
      <font>
        <b/>
        <color rgb="FF215E21"/>
      </font>
      <fill>
        <patternFill>
          <bgColor rgb="FFC6E0B4"/>
        </patternFill>
      </fill>
    </dxf>
    <dxf>
      <font>
        <b/>
        <color rgb="FF17365D"/>
      </font>
      <fill>
        <patternFill>
          <bgColor rgb="FFD9EAF7"/>
        </patternFill>
      </fill>
    </dxf>
    <dxf>
      <font>
        <color rgb="FF17365D"/>
      </font>
      <fill>
        <patternFill patternType="solid">
          <bgColor rgb="FFD9EAF7"/>
        </patternFill>
      </fill>
    </dxf>
    <dxf>
      <font>
        <color rgb="FF595959"/>
      </font>
      <fill>
        <patternFill patternType="solid">
          <bgColor rgb="FFE7E6E6"/>
        </patternFill>
      </fill>
    </dxf>
    <dxf>
      <font>
        <b/>
        <color rgb="FF9C0006"/>
      </font>
      <fill>
        <patternFill patternType="solid">
          <bgColor rgb="FFF4CCCC"/>
        </patternFill>
      </fill>
    </dxf>
    <dxf>
      <font>
        <b/>
        <color rgb="FF215E21"/>
      </font>
      <fill>
        <patternFill patternType="solid">
          <bgColor rgb="FFC6E0B4"/>
        </patternFill>
      </fill>
    </dxf>
    <dxf>
      <font>
        <color rgb="FF17365D"/>
      </font>
      <fill>
        <patternFill>
          <bgColor rgb="FFD9EAF7"/>
        </patternFill>
      </fill>
    </dxf>
    <dxf>
      <font>
        <color rgb="FF595959"/>
      </font>
      <fill>
        <patternFill>
          <bgColor rgb="FFE7E6E6"/>
        </patternFill>
      </fill>
    </dxf>
    <dxf>
      <font>
        <b/>
        <color rgb="FF9C0006"/>
      </font>
      <fill>
        <patternFill>
          <bgColor rgb="FFF4CCCC"/>
        </patternFill>
      </fill>
    </dxf>
    <dxf>
      <font>
        <b/>
        <color rgb="FF215E21"/>
      </font>
      <fill>
        <patternFill>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Reviewpunkte_7_6_7_7" displayName="Reviewpunkte_7_6_7_7" ref="A7:G24" totalsRowShown="0">
  <autoFilter ref="A7:G24" xr:uid="{00000000-0009-0000-0100-000008000000}"/>
  <tableColumns count="7">
    <tableColumn id="1" xr3:uid="{00000000-0010-0000-0000-000001000000}" name="Nr."/>
    <tableColumn id="2" xr3:uid="{00000000-0010-0000-0000-000002000000}" name="Normkapitel"/>
    <tableColumn id="3" xr3:uid="{00000000-0010-0000-0000-000003000000}" name="Prüffrage"/>
    <tableColumn id="4" xr3:uid="{00000000-0010-0000-0000-000004000000}" name="Prüfergebnis"/>
    <tableColumn id="5" xr3:uid="{00000000-0010-0000-0000-000005000000}" name="Kommentar / Nachweis"/>
    <tableColumn id="6" xr3:uid="{00000000-0010-0000-0000-000006000000}" name="E/A-Dokumente (IDs)"/>
    <tableColumn id="7" xr3:uid="{00000000-0010-0000-0000-000007000000}" name="Status / O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1000000}" name="Dokumentenregister_7_6_7_7" displayName="Dokumentenregister_7_6_7_7" ref="A7:K44" totalsRowShown="0">
  <autoFilter ref="A7:K44" xr:uid="{00000000-0009-0000-0100-000009000000}"/>
  <tableColumns count="11">
    <tableColumn id="1" xr3:uid="{00000000-0010-0000-0100-000001000000}" name="ID"/>
    <tableColumn id="2" xr3:uid="{00000000-0010-0000-0100-000002000000}" name="Art"/>
    <tableColumn id="3" xr3:uid="{00000000-0010-0000-0100-000003000000}" name="Normbegriff / Dokument"/>
    <tableColumn id="4" xr3:uid="{00000000-0010-0000-0100-000004000000}" name="Funktion / erwarteter Inhalt"/>
    <tableColumn id="5" xr3:uid="{00000000-0010-0000-0100-000005000000}" name="Bezug Prüfpunkt"/>
    <tableColumn id="6" xr3:uid="{00000000-0010-0000-0100-000006000000}" name="Normreferenz"/>
    <tableColumn id="7" xr3:uid="{00000000-0010-0000-0100-000007000000}" name="Dokumentkennung / Referenz"/>
    <tableColumn id="8" xr3:uid="{00000000-0010-0000-0100-000008000000}" name="Version / Index"/>
    <tableColumn id="9" xr3:uid="{00000000-0010-0000-0100-000009000000}" name="Status"/>
    <tableColumn id="10" xr3:uid="{00000000-0010-0000-0100-00000A000000}" name="Verantwortlich"/>
    <tableColumn id="11" xr3:uid="{00000000-0010-0000-0100-00000B000000}" name="Ablageort / Lin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viewMassnahmen" displayName="ReviewMassnahmen" ref="A5:G25" totalsRowShown="0">
  <autoFilter ref="A5:G25" xr:uid="{00000000-0009-0000-0100-000003000000}"/>
  <tableColumns count="7">
    <tableColumn id="1" xr3:uid="{00000000-0010-0000-0200-000001000000}" name="ID"/>
    <tableColumn id="2" xr3:uid="{00000000-0010-0000-0200-000002000000}" name="Typ"/>
    <tableColumn id="3" xr3:uid="{00000000-0010-0000-0200-000003000000}" name="Review-Ergebnis / Maßnahme"/>
    <tableColumn id="4" xr3:uid="{00000000-0010-0000-0200-000004000000}" name="Bezug Prüfpunkt"/>
    <tableColumn id="5" xr3:uid="{00000000-0010-0000-0200-000005000000}" name="Verantwortlich"/>
    <tableColumn id="6" xr3:uid="{00000000-0010-0000-0200-000006000000}" name="Fällig am"/>
    <tableColumn id="7" xr3:uid="{00000000-0010-0000-0200-000007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Anhang_A7" displayName="Anhang_A7" ref="A5:H11" totalsRowShown="0">
  <autoFilter ref="A5:H11" xr:uid="{00000000-0009-0000-0100-00000A000000}"/>
  <tableColumns count="8">
    <tableColumn id="1" xr3:uid="{00000000-0010-0000-0300-000001000000}" name="Nr."/>
    <tableColumn id="2" xr3:uid="{00000000-0010-0000-0300-000002000000}" name="Verfahren / Maßnahme"/>
    <tableColumn id="3" xr3:uid="{00000000-0010-0000-0300-000003000000}" name="Siehe"/>
    <tableColumn id="4" xr3:uid="{00000000-0010-0000-0300-000004000000}" name="SIL 1"/>
    <tableColumn id="5" xr3:uid="{00000000-0010-0000-0300-000005000000}" name="SIL 2"/>
    <tableColumn id="6" xr3:uid="{00000000-0010-0000-0300-000006000000}" name="SIL 3"/>
    <tableColumn id="7" xr3:uid="{00000000-0010-0000-0300-000007000000}" name="Erläuterung"/>
    <tableColumn id="8" xr3:uid="{00000000-0010-0000-0300-000008000000}" name="Normreferenz"/>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mpfehlungslegende" displayName="Empfehlungslegende" ref="A5:D9" totalsRowShown="0">
  <tableColumns count="4">
    <tableColumn id="1" xr3:uid="{00000000-0010-0000-0400-000001000000}" name="Kennzeichen"/>
    <tableColumn id="2" xr3:uid="{00000000-0010-0000-0400-000002000000}" name="Bedeutung"/>
    <tableColumn id="3" xr3:uid="{00000000-0010-0000-0400-000003000000}" name="Anwendung im Review"/>
    <tableColumn id="4" xr3:uid="{00000000-0010-0000-0400-000004000000}" name="Geltungsbereich"/>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rbeitsweise" displayName="Arbeitsweise" ref="A12:D19" totalsRowShown="0">
  <tableColumns count="4">
    <tableColumn id="1" xr3:uid="{00000000-0010-0000-0500-000001000000}" name="Schritt"/>
    <tableColumn id="2" xr3:uid="{00000000-0010-0000-0500-000002000000}" name="Vorgehen"/>
    <tableColumn id="3" xr3:uid="{00000000-0010-0000-0500-000003000000}" name="Dokumentation"/>
    <tableColumn id="4" xr3:uid="{00000000-0010-0000-0500-000004000000}" name="Hinwei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viewUnterschriften" displayName="ReviewUnterschriften" ref="A4:C11" totalsRowShown="0">
  <tableColumns count="3">
    <tableColumn id="1" xr3:uid="{00000000-0010-0000-0600-000001000000}" name="Name, Vorname, Abteilung, Funktion"/>
    <tableColumn id="2" xr3:uid="{00000000-0010-0000-0600-000002000000}" name="Datum"/>
    <tableColumn id="3" xr3:uid="{00000000-0010-0000-0600-000003000000}" name="Unterschrift / Bestätigu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showGridLines="0" tabSelected="1" workbookViewId="0">
      <selection sqref="A1:H2"/>
    </sheetView>
  </sheetViews>
  <sheetFormatPr baseColWidth="10" defaultColWidth="9" defaultRowHeight="14.25"/>
  <cols>
    <col min="1" max="1" width="22" customWidth="1"/>
    <col min="2" max="4" width="14" customWidth="1"/>
    <col min="5" max="5" width="19" customWidth="1"/>
    <col min="6" max="8" width="14" customWidth="1"/>
  </cols>
  <sheetData>
    <row r="1" spans="1:8" ht="33.950000000000003" customHeight="1">
      <c r="A1" s="21" t="s">
        <v>0</v>
      </c>
      <c r="B1" s="21" t="s">
        <v>0</v>
      </c>
      <c r="C1" s="21" t="s">
        <v>0</v>
      </c>
      <c r="D1" s="21" t="s">
        <v>0</v>
      </c>
      <c r="E1" s="21" t="s">
        <v>0</v>
      </c>
      <c r="F1" s="21" t="s">
        <v>0</v>
      </c>
      <c r="G1" s="21" t="s">
        <v>0</v>
      </c>
      <c r="H1" s="21" t="s">
        <v>0</v>
      </c>
    </row>
    <row r="2" spans="1:8" ht="33.950000000000003" customHeight="1">
      <c r="A2" s="21" t="s">
        <v>0</v>
      </c>
      <c r="B2" s="21" t="s">
        <v>0</v>
      </c>
      <c r="C2" s="21" t="s">
        <v>0</v>
      </c>
      <c r="D2" s="21" t="s">
        <v>0</v>
      </c>
      <c r="E2" s="21" t="s">
        <v>0</v>
      </c>
      <c r="F2" s="21" t="s">
        <v>0</v>
      </c>
      <c r="G2" s="21" t="s">
        <v>0</v>
      </c>
      <c r="H2" s="21" t="s">
        <v>0</v>
      </c>
    </row>
    <row r="3" spans="1:8">
      <c r="A3" s="22" t="s">
        <v>1</v>
      </c>
      <c r="B3" s="22"/>
      <c r="C3" s="22"/>
      <c r="D3" s="22"/>
      <c r="E3" s="22"/>
      <c r="F3" s="22"/>
      <c r="G3" s="22"/>
      <c r="H3" s="22"/>
    </row>
    <row r="4" spans="1:8">
      <c r="A4" s="1"/>
      <c r="B4" s="1"/>
      <c r="C4" s="1"/>
      <c r="D4" s="1"/>
      <c r="E4" s="1"/>
      <c r="F4" s="1"/>
      <c r="G4" s="1"/>
      <c r="H4" s="1"/>
    </row>
    <row r="5" spans="1:8" ht="24" customHeight="1">
      <c r="A5" s="23" t="s">
        <v>2</v>
      </c>
      <c r="B5" s="23" t="s">
        <v>2</v>
      </c>
      <c r="C5" s="23" t="s">
        <v>2</v>
      </c>
      <c r="D5" s="23" t="s">
        <v>2</v>
      </c>
      <c r="E5" s="23" t="s">
        <v>2</v>
      </c>
      <c r="F5" s="23" t="s">
        <v>2</v>
      </c>
      <c r="G5" s="23" t="s">
        <v>2</v>
      </c>
      <c r="H5" s="23" t="s">
        <v>2</v>
      </c>
    </row>
    <row r="6" spans="1:8">
      <c r="A6" s="2" t="s">
        <v>3</v>
      </c>
      <c r="B6" s="24"/>
      <c r="C6" s="24"/>
      <c r="D6" s="24"/>
      <c r="E6" s="2" t="s">
        <v>4</v>
      </c>
      <c r="F6" s="24"/>
      <c r="G6" s="24"/>
      <c r="H6" s="24"/>
    </row>
    <row r="7" spans="1:8">
      <c r="A7" s="2" t="s">
        <v>5</v>
      </c>
      <c r="B7" s="24"/>
      <c r="C7" s="24"/>
      <c r="D7" s="24"/>
      <c r="E7" s="2" t="s">
        <v>6</v>
      </c>
      <c r="F7" s="24"/>
      <c r="G7" s="24"/>
      <c r="H7" s="24"/>
    </row>
    <row r="8" spans="1:8">
      <c r="A8" s="2" t="s">
        <v>7</v>
      </c>
      <c r="B8" s="24"/>
      <c r="C8" s="24"/>
      <c r="D8" s="24"/>
      <c r="E8" s="2" t="s">
        <v>8</v>
      </c>
      <c r="F8" s="24" t="s">
        <v>9</v>
      </c>
      <c r="G8" s="24" t="s">
        <v>9</v>
      </c>
      <c r="H8" s="24" t="s">
        <v>9</v>
      </c>
    </row>
    <row r="9" spans="1:8">
      <c r="A9" s="2" t="s">
        <v>10</v>
      </c>
      <c r="B9" s="24"/>
      <c r="C9" s="24"/>
      <c r="D9" s="24"/>
      <c r="E9" s="2" t="s">
        <v>11</v>
      </c>
      <c r="F9" s="25"/>
      <c r="G9" s="25"/>
      <c r="H9" s="25"/>
    </row>
    <row r="10" spans="1:8">
      <c r="A10" s="2" t="s">
        <v>12</v>
      </c>
      <c r="B10" s="24"/>
      <c r="C10" s="24"/>
      <c r="D10" s="24"/>
      <c r="E10" s="2" t="s">
        <v>13</v>
      </c>
      <c r="F10" s="24"/>
      <c r="G10" s="24"/>
      <c r="H10" s="24"/>
    </row>
    <row r="11" spans="1:8">
      <c r="A11" s="1"/>
      <c r="B11" s="1"/>
      <c r="C11" s="1"/>
      <c r="D11" s="1"/>
      <c r="E11" s="1"/>
      <c r="F11" s="1"/>
      <c r="G11" s="1"/>
      <c r="H11" s="1"/>
    </row>
    <row r="12" spans="1:8" ht="24" customHeight="1">
      <c r="A12" s="23" t="s">
        <v>14</v>
      </c>
      <c r="B12" s="23" t="s">
        <v>14</v>
      </c>
      <c r="C12" s="23" t="s">
        <v>14</v>
      </c>
      <c r="D12" s="23" t="s">
        <v>14</v>
      </c>
      <c r="E12" s="23" t="s">
        <v>14</v>
      </c>
      <c r="F12" s="23" t="s">
        <v>14</v>
      </c>
      <c r="G12" s="23" t="s">
        <v>14</v>
      </c>
      <c r="H12" s="23" t="s">
        <v>14</v>
      </c>
    </row>
    <row r="13" spans="1:8">
      <c r="A13" s="2" t="s">
        <v>15</v>
      </c>
      <c r="B13" s="24"/>
      <c r="C13" s="24"/>
      <c r="D13" s="24"/>
      <c r="E13" s="24"/>
      <c r="F13" s="24"/>
      <c r="G13" s="24"/>
      <c r="H13" s="24"/>
    </row>
    <row r="14" spans="1:8">
      <c r="A14" s="2" t="s">
        <v>16</v>
      </c>
      <c r="B14" s="24"/>
      <c r="C14" s="24"/>
      <c r="D14" s="24"/>
      <c r="E14" s="24"/>
      <c r="F14" s="24"/>
      <c r="G14" s="24"/>
      <c r="H14" s="24"/>
    </row>
    <row r="15" spans="1:8">
      <c r="A15" s="2" t="s">
        <v>17</v>
      </c>
      <c r="B15" s="24"/>
      <c r="C15" s="24"/>
      <c r="D15" s="24"/>
      <c r="E15" s="24"/>
      <c r="F15" s="24"/>
      <c r="G15" s="24"/>
      <c r="H15" s="24"/>
    </row>
    <row r="16" spans="1:8">
      <c r="A16" s="2" t="s">
        <v>18</v>
      </c>
      <c r="B16" s="24"/>
      <c r="C16" s="24"/>
      <c r="D16" s="24"/>
      <c r="E16" s="24"/>
      <c r="F16" s="24"/>
      <c r="G16" s="24"/>
      <c r="H16" s="24"/>
    </row>
    <row r="17" spans="1:8">
      <c r="A17" s="1"/>
      <c r="B17" s="1"/>
      <c r="C17" s="1"/>
      <c r="D17" s="1"/>
      <c r="E17" s="1"/>
      <c r="F17" s="1"/>
      <c r="G17" s="1"/>
      <c r="H17" s="1"/>
    </row>
    <row r="18" spans="1:8" ht="24" customHeight="1">
      <c r="A18" s="23" t="s">
        <v>19</v>
      </c>
      <c r="B18" s="23" t="s">
        <v>19</v>
      </c>
      <c r="C18" s="23" t="s">
        <v>19</v>
      </c>
      <c r="D18" s="23" t="s">
        <v>19</v>
      </c>
      <c r="E18" s="23" t="s">
        <v>19</v>
      </c>
      <c r="F18" s="23" t="s">
        <v>19</v>
      </c>
      <c r="G18" s="23" t="s">
        <v>19</v>
      </c>
      <c r="H18" s="23" t="s">
        <v>19</v>
      </c>
    </row>
    <row r="19" spans="1:8">
      <c r="A19" s="5" t="s">
        <v>20</v>
      </c>
      <c r="B19" s="5"/>
      <c r="C19" s="5" t="s">
        <v>21</v>
      </c>
      <c r="D19" s="5"/>
      <c r="E19" s="5" t="s">
        <v>22</v>
      </c>
      <c r="F19" s="5"/>
      <c r="G19" s="5" t="s">
        <v>23</v>
      </c>
      <c r="H19" s="5" t="s">
        <v>24</v>
      </c>
    </row>
    <row r="20" spans="1:8" ht="18.75">
      <c r="A20" s="6">
        <f>COUNTA('Review 7.6-7.7'!B8:B24)</f>
        <v>17</v>
      </c>
      <c r="B20" s="6"/>
      <c r="C20" s="6">
        <f>COUNTIF('Review 7.6-7.7'!G8:G24,"OK")</f>
        <v>0</v>
      </c>
      <c r="D20" s="6"/>
      <c r="E20" s="6">
        <f>COUNTIF('Review 7.6-7.7'!G8:G24,"Nicht OK")</f>
        <v>0</v>
      </c>
      <c r="F20" s="6"/>
      <c r="G20" s="6">
        <f>COUNTIF('Review 7.6-7.7'!G8:G24,"Nicht geprüft")</f>
        <v>17</v>
      </c>
      <c r="H20" s="7">
        <f>IF(A20=0,0,(C20+COUNTIF('Review 7.6-7.7'!G8:G24,"n. a."))/A20)</f>
        <v>0</v>
      </c>
    </row>
    <row r="21" spans="1:8">
      <c r="A21" s="1"/>
      <c r="B21" s="1"/>
      <c r="C21" s="1"/>
      <c r="D21" s="1"/>
      <c r="E21" s="1"/>
      <c r="F21" s="1"/>
      <c r="G21" s="1"/>
      <c r="H21" s="1"/>
    </row>
    <row r="22" spans="1:8">
      <c r="A22" s="2" t="s">
        <v>25</v>
      </c>
      <c r="B22" s="24"/>
      <c r="C22" s="24"/>
      <c r="D22" s="24"/>
      <c r="E22" s="24"/>
      <c r="F22" s="24"/>
      <c r="G22" s="24"/>
      <c r="H22" s="24"/>
    </row>
    <row r="23" spans="1:8" ht="27.95" customHeight="1">
      <c r="A23" s="2" t="s">
        <v>26</v>
      </c>
      <c r="B23" s="24"/>
      <c r="C23" s="24"/>
      <c r="D23" s="24"/>
      <c r="E23" s="24"/>
      <c r="F23" s="24"/>
      <c r="G23" s="24"/>
      <c r="H23" s="24"/>
    </row>
    <row r="24" spans="1:8" ht="27.95" customHeight="1">
      <c r="A24" s="1"/>
      <c r="B24" s="24"/>
      <c r="C24" s="24"/>
      <c r="D24" s="24"/>
      <c r="E24" s="24"/>
      <c r="F24" s="24"/>
      <c r="G24" s="24"/>
      <c r="H24" s="24"/>
    </row>
    <row r="25" spans="1:8" ht="27.95" customHeight="1">
      <c r="A25" s="1"/>
      <c r="B25" s="24"/>
      <c r="C25" s="24"/>
      <c r="D25" s="24"/>
      <c r="E25" s="24"/>
      <c r="F25" s="24"/>
      <c r="G25" s="24"/>
      <c r="H25" s="24"/>
    </row>
    <row r="26" spans="1:8">
      <c r="A26" s="1"/>
      <c r="B26" s="1"/>
      <c r="C26" s="1"/>
      <c r="D26" s="1"/>
      <c r="E26" s="1"/>
      <c r="F26" s="1"/>
      <c r="G26" s="1"/>
      <c r="H26" s="1"/>
    </row>
    <row r="27" spans="1:8" ht="26.1" customHeight="1">
      <c r="A27" s="2" t="s">
        <v>27</v>
      </c>
      <c r="B27" s="24" t="s">
        <v>28</v>
      </c>
      <c r="C27" s="24" t="s">
        <v>28</v>
      </c>
      <c r="D27" s="24" t="s">
        <v>28</v>
      </c>
      <c r="E27" s="24" t="s">
        <v>28</v>
      </c>
      <c r="F27" s="24" t="s">
        <v>28</v>
      </c>
      <c r="G27" s="24" t="s">
        <v>28</v>
      </c>
      <c r="H27" s="24" t="s">
        <v>28</v>
      </c>
    </row>
    <row r="28" spans="1:8" ht="26.1" customHeight="1">
      <c r="A28" s="1"/>
      <c r="B28" s="24" t="s">
        <v>28</v>
      </c>
      <c r="C28" s="24" t="s">
        <v>28</v>
      </c>
      <c r="D28" s="24" t="s">
        <v>28</v>
      </c>
      <c r="E28" s="24" t="s">
        <v>28</v>
      </c>
      <c r="F28" s="24" t="s">
        <v>28</v>
      </c>
      <c r="G28" s="24" t="s">
        <v>28</v>
      </c>
      <c r="H28" s="24" t="s">
        <v>28</v>
      </c>
    </row>
    <row r="29" spans="1:8" ht="26.1" customHeight="1">
      <c r="A29" s="1"/>
      <c r="B29" s="24" t="s">
        <v>28</v>
      </c>
      <c r="C29" s="24" t="s">
        <v>28</v>
      </c>
      <c r="D29" s="24" t="s">
        <v>28</v>
      </c>
      <c r="E29" s="24" t="s">
        <v>28</v>
      </c>
      <c r="F29" s="24" t="s">
        <v>28</v>
      </c>
      <c r="G29" s="24" t="s">
        <v>28</v>
      </c>
      <c r="H29" s="24" t="s">
        <v>28</v>
      </c>
    </row>
    <row r="30" spans="1:8" ht="26.1" customHeight="1">
      <c r="A30" s="1"/>
      <c r="B30" s="24" t="s">
        <v>28</v>
      </c>
      <c r="C30" s="24" t="s">
        <v>28</v>
      </c>
      <c r="D30" s="24" t="s">
        <v>28</v>
      </c>
      <c r="E30" s="24" t="s">
        <v>28</v>
      </c>
      <c r="F30" s="24" t="s">
        <v>28</v>
      </c>
      <c r="G30" s="24" t="s">
        <v>28</v>
      </c>
      <c r="H30" s="24" t="s">
        <v>28</v>
      </c>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sheetData>
  <mergeCells count="22">
    <mergeCell ref="B27:H30"/>
    <mergeCell ref="B15:H15"/>
    <mergeCell ref="B16:H16"/>
    <mergeCell ref="A18:H18"/>
    <mergeCell ref="B22:H22"/>
    <mergeCell ref="B23:H25"/>
    <mergeCell ref="B10:D10"/>
    <mergeCell ref="F10:H10"/>
    <mergeCell ref="A12:H12"/>
    <mergeCell ref="B13:H13"/>
    <mergeCell ref="B14:H14"/>
    <mergeCell ref="B7:D7"/>
    <mergeCell ref="F7:H7"/>
    <mergeCell ref="B8:D8"/>
    <mergeCell ref="F8:H8"/>
    <mergeCell ref="B9:D9"/>
    <mergeCell ref="F9:H9"/>
    <mergeCell ref="A1:H2"/>
    <mergeCell ref="A3:H3"/>
    <mergeCell ref="A5:H5"/>
    <mergeCell ref="B6:D6"/>
    <mergeCell ref="F6:H6"/>
  </mergeCells>
  <dataValidations count="2">
    <dataValidation type="list" sqref="B8:D8" xr:uid="{00000000-0002-0000-0000-000000000000}">
      <formula1>"SIL 1,SIL 2,SIL 3"</formula1>
    </dataValidation>
    <dataValidation type="list" sqref="B22:H22" xr:uid="{00000000-0002-0000-0000-000001000000}">
      <formula1>"Dokument muss überarbeitet werden und kann danach freigegeben werden,Dokument muss überarbeitet werden und danach einem Review unterzogen werden,Dokument kann zum externen Review vorgelegt werden,Dokument kann freigegeben werden"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showGridLines="0" workbookViewId="0">
      <pane ySplit="7" topLeftCell="A8" activePane="bottomLeft" state="frozen"/>
      <selection pane="bottomLeft" sqref="A1:XFD7"/>
    </sheetView>
  </sheetViews>
  <sheetFormatPr baseColWidth="10" defaultColWidth="9" defaultRowHeight="14.25"/>
  <cols>
    <col min="1" max="1" width="8" customWidth="1"/>
    <col min="2" max="2" width="14" customWidth="1"/>
    <col min="3" max="3" width="72" customWidth="1"/>
    <col min="4" max="5" width="34" customWidth="1"/>
    <col min="6" max="6" width="25" customWidth="1"/>
    <col min="7" max="7" width="17" customWidth="1"/>
  </cols>
  <sheetData>
    <row r="1" spans="1:7" ht="33.950000000000003" customHeight="1">
      <c r="A1" s="21" t="s">
        <v>29</v>
      </c>
      <c r="B1" s="21" t="s">
        <v>29</v>
      </c>
      <c r="C1" s="21" t="s">
        <v>29</v>
      </c>
      <c r="D1" s="21" t="s">
        <v>29</v>
      </c>
      <c r="E1" s="21" t="s">
        <v>29</v>
      </c>
      <c r="F1" s="21" t="s">
        <v>29</v>
      </c>
      <c r="G1" s="21" t="s">
        <v>29</v>
      </c>
    </row>
    <row r="2" spans="1:7" ht="33.950000000000003" customHeight="1">
      <c r="A2" s="21" t="s">
        <v>29</v>
      </c>
      <c r="B2" s="21" t="s">
        <v>29</v>
      </c>
      <c r="C2" s="21" t="s">
        <v>29</v>
      </c>
      <c r="D2" s="21" t="s">
        <v>29</v>
      </c>
      <c r="E2" s="21" t="s">
        <v>29</v>
      </c>
      <c r="F2" s="21" t="s">
        <v>29</v>
      </c>
      <c r="G2" s="21" t="s">
        <v>29</v>
      </c>
    </row>
    <row r="3" spans="1:7">
      <c r="A3" s="26" t="s">
        <v>30</v>
      </c>
      <c r="B3" s="26"/>
      <c r="C3" s="26"/>
      <c r="D3" s="26"/>
      <c r="E3" s="26"/>
      <c r="F3" s="26"/>
      <c r="G3" s="26"/>
    </row>
    <row r="4" spans="1:7">
      <c r="A4" s="1"/>
      <c r="B4" s="1"/>
      <c r="C4" s="1"/>
      <c r="D4" s="1"/>
      <c r="E4" s="1"/>
      <c r="F4" s="1"/>
      <c r="G4" s="1"/>
    </row>
    <row r="5" spans="1:7" ht="15">
      <c r="A5" s="8" t="s">
        <v>31</v>
      </c>
      <c r="B5" s="8" t="s">
        <v>32</v>
      </c>
      <c r="C5" s="8" t="s">
        <v>33</v>
      </c>
      <c r="D5" s="8"/>
      <c r="E5" s="8"/>
      <c r="F5" s="8" t="s">
        <v>34</v>
      </c>
      <c r="G5" s="8" t="s">
        <v>35</v>
      </c>
    </row>
    <row r="6" spans="1:7">
      <c r="A6" s="1"/>
      <c r="B6" s="1"/>
      <c r="C6" s="1"/>
      <c r="D6" s="1"/>
      <c r="E6" s="1"/>
      <c r="F6" s="1"/>
      <c r="G6" s="1"/>
    </row>
    <row r="7" spans="1:7">
      <c r="A7" s="10" t="s">
        <v>36</v>
      </c>
      <c r="B7" s="10" t="s">
        <v>37</v>
      </c>
      <c r="C7" s="10" t="s">
        <v>38</v>
      </c>
      <c r="D7" s="10" t="s">
        <v>39</v>
      </c>
      <c r="E7" s="10" t="s">
        <v>40</v>
      </c>
      <c r="F7" s="10" t="s">
        <v>41</v>
      </c>
      <c r="G7" s="10" t="s">
        <v>35</v>
      </c>
    </row>
    <row r="8" spans="1:7" ht="72.95" customHeight="1">
      <c r="A8" s="16" t="s">
        <v>42</v>
      </c>
      <c r="B8" s="16" t="s">
        <v>43</v>
      </c>
      <c r="C8" s="17" t="s">
        <v>44</v>
      </c>
      <c r="D8" s="18"/>
      <c r="E8" s="18"/>
      <c r="F8" s="19" t="s">
        <v>45</v>
      </c>
      <c r="G8" s="20" t="s">
        <v>23</v>
      </c>
    </row>
    <row r="9" spans="1:7" ht="72" customHeight="1">
      <c r="A9" s="16" t="s">
        <v>46</v>
      </c>
      <c r="B9" s="16" t="s">
        <v>47</v>
      </c>
      <c r="C9" s="17" t="s">
        <v>48</v>
      </c>
      <c r="D9" s="18"/>
      <c r="E9" s="18"/>
      <c r="F9" s="19" t="s">
        <v>45</v>
      </c>
      <c r="G9" s="20" t="s">
        <v>23</v>
      </c>
    </row>
    <row r="10" spans="1:7" ht="225" customHeight="1">
      <c r="A10" s="16" t="s">
        <v>49</v>
      </c>
      <c r="B10" s="16" t="s">
        <v>50</v>
      </c>
      <c r="C10" s="17" t="s">
        <v>51</v>
      </c>
      <c r="D10" s="18"/>
      <c r="E10" s="18"/>
      <c r="F10" s="19" t="s">
        <v>52</v>
      </c>
      <c r="G10" s="20" t="s">
        <v>23</v>
      </c>
    </row>
    <row r="11" spans="1:7" ht="72.95" customHeight="1">
      <c r="A11" s="16" t="s">
        <v>53</v>
      </c>
      <c r="B11" s="16" t="s">
        <v>54</v>
      </c>
      <c r="C11" s="17" t="s">
        <v>55</v>
      </c>
      <c r="D11" s="18"/>
      <c r="E11" s="18"/>
      <c r="F11" s="19" t="s">
        <v>56</v>
      </c>
      <c r="G11" s="20" t="s">
        <v>23</v>
      </c>
    </row>
    <row r="12" spans="1:7" ht="72.95" customHeight="1">
      <c r="A12" s="16" t="s">
        <v>57</v>
      </c>
      <c r="B12" s="16" t="s">
        <v>58</v>
      </c>
      <c r="C12" s="17" t="s">
        <v>59</v>
      </c>
      <c r="D12" s="18"/>
      <c r="E12" s="18"/>
      <c r="F12" s="19" t="s">
        <v>60</v>
      </c>
      <c r="G12" s="20" t="s">
        <v>23</v>
      </c>
    </row>
    <row r="13" spans="1:7" ht="72" customHeight="1">
      <c r="A13" s="16" t="s">
        <v>61</v>
      </c>
      <c r="B13" s="16" t="s">
        <v>62</v>
      </c>
      <c r="C13" s="17" t="s">
        <v>63</v>
      </c>
      <c r="D13" s="18"/>
      <c r="E13" s="18"/>
      <c r="F13" s="19" t="s">
        <v>64</v>
      </c>
      <c r="G13" s="20" t="s">
        <v>23</v>
      </c>
    </row>
    <row r="14" spans="1:7" ht="72" customHeight="1">
      <c r="A14" s="16" t="s">
        <v>65</v>
      </c>
      <c r="B14" s="16" t="s">
        <v>66</v>
      </c>
      <c r="C14" s="17" t="s">
        <v>67</v>
      </c>
      <c r="D14" s="18"/>
      <c r="E14" s="18"/>
      <c r="F14" s="19" t="s">
        <v>68</v>
      </c>
      <c r="G14" s="20" t="s">
        <v>23</v>
      </c>
    </row>
    <row r="15" spans="1:7" ht="72" customHeight="1">
      <c r="A15" s="16" t="s">
        <v>69</v>
      </c>
      <c r="B15" s="16" t="s">
        <v>70</v>
      </c>
      <c r="C15" s="17" t="s">
        <v>71</v>
      </c>
      <c r="D15" s="18"/>
      <c r="E15" s="18"/>
      <c r="F15" s="19" t="s">
        <v>72</v>
      </c>
      <c r="G15" s="20" t="s">
        <v>23</v>
      </c>
    </row>
    <row r="16" spans="1:7" ht="72.95" customHeight="1">
      <c r="A16" s="16" t="s">
        <v>73</v>
      </c>
      <c r="B16" s="16" t="s">
        <v>74</v>
      </c>
      <c r="C16" s="17" t="s">
        <v>75</v>
      </c>
      <c r="D16" s="18"/>
      <c r="E16" s="18"/>
      <c r="F16" s="19" t="s">
        <v>76</v>
      </c>
      <c r="G16" s="20" t="s">
        <v>23</v>
      </c>
    </row>
    <row r="17" spans="1:7" ht="72" customHeight="1">
      <c r="A17" s="16" t="s">
        <v>77</v>
      </c>
      <c r="B17" s="16" t="s">
        <v>78</v>
      </c>
      <c r="C17" s="17" t="s">
        <v>79</v>
      </c>
      <c r="D17" s="18"/>
      <c r="E17" s="18"/>
      <c r="F17" s="19" t="s">
        <v>80</v>
      </c>
      <c r="G17" s="20" t="s">
        <v>23</v>
      </c>
    </row>
    <row r="18" spans="1:7" ht="72" customHeight="1">
      <c r="A18" s="16" t="s">
        <v>81</v>
      </c>
      <c r="B18" s="16" t="s">
        <v>82</v>
      </c>
      <c r="C18" s="17" t="s">
        <v>83</v>
      </c>
      <c r="D18" s="18"/>
      <c r="E18" s="18"/>
      <c r="F18" s="19" t="s">
        <v>84</v>
      </c>
      <c r="G18" s="20" t="s">
        <v>23</v>
      </c>
    </row>
    <row r="19" spans="1:7" ht="72" customHeight="1">
      <c r="A19" s="16" t="s">
        <v>85</v>
      </c>
      <c r="B19" s="16" t="s">
        <v>86</v>
      </c>
      <c r="C19" s="17" t="s">
        <v>87</v>
      </c>
      <c r="D19" s="18"/>
      <c r="E19" s="18"/>
      <c r="F19" s="19" t="s">
        <v>88</v>
      </c>
      <c r="G19" s="20" t="s">
        <v>23</v>
      </c>
    </row>
    <row r="20" spans="1:7" ht="191.1" customHeight="1">
      <c r="A20" s="16" t="s">
        <v>89</v>
      </c>
      <c r="B20" s="16" t="s">
        <v>90</v>
      </c>
      <c r="C20" s="17" t="s">
        <v>91</v>
      </c>
      <c r="D20" s="18"/>
      <c r="E20" s="18"/>
      <c r="F20" s="19" t="s">
        <v>92</v>
      </c>
      <c r="G20" s="20" t="s">
        <v>23</v>
      </c>
    </row>
    <row r="21" spans="1:7" ht="107.1" customHeight="1">
      <c r="A21" s="16" t="s">
        <v>93</v>
      </c>
      <c r="B21" s="16" t="s">
        <v>94</v>
      </c>
      <c r="C21" s="17" t="s">
        <v>95</v>
      </c>
      <c r="D21" s="18"/>
      <c r="E21" s="18"/>
      <c r="F21" s="19" t="s">
        <v>96</v>
      </c>
      <c r="G21" s="20" t="s">
        <v>23</v>
      </c>
    </row>
    <row r="22" spans="1:7" ht="147.94999999999999" customHeight="1">
      <c r="A22" s="16" t="s">
        <v>97</v>
      </c>
      <c r="B22" s="16" t="s">
        <v>98</v>
      </c>
      <c r="C22" s="17" t="s">
        <v>99</v>
      </c>
      <c r="D22" s="18"/>
      <c r="E22" s="18"/>
      <c r="F22" s="19" t="s">
        <v>100</v>
      </c>
      <c r="G22" s="20" t="s">
        <v>23</v>
      </c>
    </row>
    <row r="23" spans="1:7" ht="72" customHeight="1">
      <c r="A23" s="17" t="s">
        <v>101</v>
      </c>
      <c r="B23" s="17" t="s">
        <v>102</v>
      </c>
      <c r="C23" s="17" t="s">
        <v>103</v>
      </c>
      <c r="D23" s="18"/>
      <c r="E23" s="18"/>
      <c r="F23" s="19" t="s">
        <v>104</v>
      </c>
      <c r="G23" s="18" t="s">
        <v>23</v>
      </c>
    </row>
    <row r="24" spans="1:7" ht="140.1" customHeight="1">
      <c r="A24" s="17" t="s">
        <v>105</v>
      </c>
      <c r="B24" s="17" t="s">
        <v>106</v>
      </c>
      <c r="C24" s="17" t="s">
        <v>107</v>
      </c>
      <c r="D24" s="18"/>
      <c r="E24" s="18"/>
      <c r="F24" s="19" t="s">
        <v>108</v>
      </c>
      <c r="G24" s="18" t="s">
        <v>23</v>
      </c>
    </row>
    <row r="25" spans="1:7">
      <c r="A25" s="1"/>
      <c r="B25" s="1"/>
      <c r="C25" s="1"/>
      <c r="D25" s="1"/>
      <c r="E25" s="1"/>
      <c r="F25" s="1"/>
      <c r="G25" s="1"/>
    </row>
  </sheetData>
  <mergeCells count="2">
    <mergeCell ref="A1:G2"/>
    <mergeCell ref="A3:G3"/>
  </mergeCells>
  <conditionalFormatting sqref="G8:G22">
    <cfRule type="expression" dxfId="15" priority="1">
      <formula>G8="OK"</formula>
    </cfRule>
    <cfRule type="expression" dxfId="14" priority="2">
      <formula>G8="Nicht OK"</formula>
    </cfRule>
    <cfRule type="expression" dxfId="13" priority="3">
      <formula>G8="Nicht geprüft"</formula>
    </cfRule>
    <cfRule type="expression" dxfId="12" priority="4">
      <formula>G8="n. a."</formula>
    </cfRule>
  </conditionalFormatting>
  <conditionalFormatting sqref="G8:G24">
    <cfRule type="expression" dxfId="11" priority="5">
      <formula>G8="OK"</formula>
    </cfRule>
    <cfRule type="expression" dxfId="10" priority="6">
      <formula>G8="Nicht OK"</formula>
    </cfRule>
    <cfRule type="expression" dxfId="9" priority="7">
      <formula>G8="Nicht geprüft"</formula>
    </cfRule>
    <cfRule type="expression" dxfId="8" priority="8">
      <formula>G8="n. a."</formula>
    </cfRule>
  </conditionalFormatting>
  <dataValidations count="1">
    <dataValidation type="list" sqref="G8:G24" xr:uid="{00000000-0002-0000-0100-000000000000}">
      <formula1>"Nicht geprüft,OK,Nicht OK,n. a."</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5"/>
  <sheetViews>
    <sheetView showGridLines="0" workbookViewId="0">
      <pane ySplit="7" topLeftCell="A8" activePane="bottomLeft" state="frozen"/>
      <selection pane="bottomLeft" sqref="A1:XFD7"/>
    </sheetView>
  </sheetViews>
  <sheetFormatPr baseColWidth="10" defaultColWidth="9" defaultRowHeight="14.25"/>
  <cols>
    <col min="1" max="1" width="9" customWidth="1"/>
    <col min="2" max="2" width="18" customWidth="1"/>
    <col min="3" max="3" width="42" customWidth="1"/>
    <col min="4" max="4" width="52" customWidth="1"/>
    <col min="5" max="5" width="18" customWidth="1"/>
    <col min="6" max="6" width="46" customWidth="1"/>
    <col min="7" max="7" width="28" customWidth="1"/>
    <col min="8" max="8" width="14" customWidth="1"/>
    <col min="9" max="9" width="19" customWidth="1"/>
    <col min="10" max="10" width="22" customWidth="1"/>
    <col min="11" max="11" width="34" customWidth="1"/>
  </cols>
  <sheetData>
    <row r="1" spans="1:11" ht="33.950000000000003" customHeight="1">
      <c r="A1" s="21" t="s">
        <v>109</v>
      </c>
      <c r="B1" s="21" t="s">
        <v>109</v>
      </c>
      <c r="C1" s="21" t="s">
        <v>109</v>
      </c>
      <c r="D1" s="21" t="s">
        <v>109</v>
      </c>
      <c r="E1" s="21" t="s">
        <v>109</v>
      </c>
      <c r="F1" s="21" t="s">
        <v>109</v>
      </c>
      <c r="G1" s="21" t="s">
        <v>109</v>
      </c>
      <c r="H1" s="21" t="s">
        <v>109</v>
      </c>
      <c r="I1" s="21" t="s">
        <v>109</v>
      </c>
      <c r="J1" s="21" t="s">
        <v>109</v>
      </c>
      <c r="K1" s="21" t="s">
        <v>109</v>
      </c>
    </row>
    <row r="2" spans="1:11" ht="33.950000000000003" customHeight="1">
      <c r="A2" s="21" t="s">
        <v>109</v>
      </c>
      <c r="B2" s="21" t="s">
        <v>109</v>
      </c>
      <c r="C2" s="21" t="s">
        <v>109</v>
      </c>
      <c r="D2" s="21" t="s">
        <v>109</v>
      </c>
      <c r="E2" s="21" t="s">
        <v>109</v>
      </c>
      <c r="F2" s="21" t="s">
        <v>109</v>
      </c>
      <c r="G2" s="21" t="s">
        <v>109</v>
      </c>
      <c r="H2" s="21" t="s">
        <v>109</v>
      </c>
      <c r="I2" s="21" t="s">
        <v>109</v>
      </c>
      <c r="J2" s="21" t="s">
        <v>109</v>
      </c>
      <c r="K2" s="21" t="s">
        <v>109</v>
      </c>
    </row>
    <row r="3" spans="1:11">
      <c r="A3" s="26" t="s">
        <v>110</v>
      </c>
      <c r="B3" s="26" t="s">
        <v>110</v>
      </c>
      <c r="C3" s="26" t="s">
        <v>110</v>
      </c>
      <c r="D3" s="26" t="s">
        <v>110</v>
      </c>
      <c r="E3" s="26" t="s">
        <v>110</v>
      </c>
      <c r="F3" s="26" t="s">
        <v>110</v>
      </c>
      <c r="G3" s="26" t="s">
        <v>110</v>
      </c>
      <c r="H3" s="26" t="s">
        <v>110</v>
      </c>
      <c r="I3" s="26" t="s">
        <v>110</v>
      </c>
      <c r="J3" s="26" t="s">
        <v>110</v>
      </c>
      <c r="K3" s="26" t="s">
        <v>110</v>
      </c>
    </row>
    <row r="4" spans="1:11">
      <c r="A4" s="1"/>
      <c r="B4" s="1"/>
      <c r="C4" s="1"/>
      <c r="D4" s="1"/>
      <c r="E4" s="1"/>
      <c r="F4" s="1"/>
      <c r="G4" s="1"/>
      <c r="H4" s="1"/>
      <c r="I4" s="1"/>
      <c r="J4" s="1"/>
      <c r="K4" s="1"/>
    </row>
    <row r="5" spans="1:11" ht="15">
      <c r="A5" s="13" t="s">
        <v>111</v>
      </c>
      <c r="B5" s="13">
        <v>37</v>
      </c>
      <c r="C5" s="13" t="s">
        <v>112</v>
      </c>
      <c r="D5" s="13">
        <f>COUNTIF(B8:B44,"Eingabe")+COUNTIF(B8:B44,"Eingabe / Ausgabe")</f>
        <v>21</v>
      </c>
      <c r="E5" s="13" t="s">
        <v>113</v>
      </c>
      <c r="F5" s="13">
        <f>COUNTIF(B8:B44,"Ausgabe")+COUNTIF(B8:B44,"Eingabe / Ausgabe")</f>
        <v>25</v>
      </c>
      <c r="G5" s="13" t="s">
        <v>114</v>
      </c>
      <c r="H5" s="13">
        <f>COUNTIF(I8:I44,"Geprüft")+COUNTIF(I8:I44,"Freigegeben")</f>
        <v>0</v>
      </c>
      <c r="I5" s="13" t="s">
        <v>115</v>
      </c>
      <c r="J5" s="13">
        <f>COUNTIF(I8:I44,"Nicht vorgelegt")</f>
        <v>37</v>
      </c>
      <c r="K5" s="13"/>
    </row>
    <row r="6" spans="1:11">
      <c r="A6" s="1"/>
      <c r="B6" s="1"/>
      <c r="C6" s="1"/>
      <c r="D6" s="1"/>
      <c r="E6" s="1"/>
      <c r="F6" s="1"/>
      <c r="G6" s="1"/>
      <c r="H6" s="1"/>
      <c r="I6" s="1"/>
      <c r="J6" s="1"/>
      <c r="K6" s="1"/>
    </row>
    <row r="7" spans="1:11">
      <c r="A7" s="10" t="s">
        <v>116</v>
      </c>
      <c r="B7" s="10" t="s">
        <v>117</v>
      </c>
      <c r="C7" s="10" t="s">
        <v>118</v>
      </c>
      <c r="D7" s="10" t="s">
        <v>119</v>
      </c>
      <c r="E7" s="10" t="s">
        <v>120</v>
      </c>
      <c r="F7" s="10" t="s">
        <v>121</v>
      </c>
      <c r="G7" s="10" t="s">
        <v>122</v>
      </c>
      <c r="H7" s="10" t="s">
        <v>123</v>
      </c>
      <c r="I7" s="10" t="s">
        <v>124</v>
      </c>
      <c r="J7" s="10" t="s">
        <v>125</v>
      </c>
      <c r="K7" s="10" t="s">
        <v>126</v>
      </c>
    </row>
    <row r="8" spans="1:11" ht="60" customHeight="1">
      <c r="A8" s="16" t="s">
        <v>127</v>
      </c>
      <c r="B8" s="16" t="s">
        <v>128</v>
      </c>
      <c r="C8" s="17" t="s">
        <v>129</v>
      </c>
      <c r="D8" s="17" t="s">
        <v>130</v>
      </c>
      <c r="E8" s="16" t="s">
        <v>131</v>
      </c>
      <c r="F8" s="17" t="s">
        <v>132</v>
      </c>
      <c r="G8" s="18"/>
      <c r="H8" s="20"/>
      <c r="I8" s="20" t="s">
        <v>115</v>
      </c>
      <c r="J8" s="18"/>
      <c r="K8" s="18"/>
    </row>
    <row r="9" spans="1:11" ht="60" customHeight="1">
      <c r="A9" s="16" t="s">
        <v>133</v>
      </c>
      <c r="B9" s="16" t="s">
        <v>134</v>
      </c>
      <c r="C9" s="17" t="s">
        <v>135</v>
      </c>
      <c r="D9" s="17" t="s">
        <v>136</v>
      </c>
      <c r="E9" s="16" t="s">
        <v>137</v>
      </c>
      <c r="F9" s="17" t="s">
        <v>138</v>
      </c>
      <c r="G9" s="18"/>
      <c r="H9" s="20"/>
      <c r="I9" s="20" t="s">
        <v>115</v>
      </c>
      <c r="J9" s="18"/>
      <c r="K9" s="18"/>
    </row>
    <row r="10" spans="1:11" ht="60" customHeight="1">
      <c r="A10" s="16" t="s">
        <v>139</v>
      </c>
      <c r="B10" s="16" t="s">
        <v>134</v>
      </c>
      <c r="C10" s="17" t="s">
        <v>140</v>
      </c>
      <c r="D10" s="17" t="s">
        <v>141</v>
      </c>
      <c r="E10" s="16" t="s">
        <v>49</v>
      </c>
      <c r="F10" s="17" t="s">
        <v>142</v>
      </c>
      <c r="G10" s="18"/>
      <c r="H10" s="20"/>
      <c r="I10" s="20" t="s">
        <v>115</v>
      </c>
      <c r="J10" s="18"/>
      <c r="K10" s="18"/>
    </row>
    <row r="11" spans="1:11" ht="60" customHeight="1">
      <c r="A11" s="16" t="s">
        <v>143</v>
      </c>
      <c r="B11" s="16" t="s">
        <v>144</v>
      </c>
      <c r="C11" s="17" t="s">
        <v>145</v>
      </c>
      <c r="D11" s="17" t="s">
        <v>146</v>
      </c>
      <c r="E11" s="16" t="s">
        <v>49</v>
      </c>
      <c r="F11" s="17" t="s">
        <v>147</v>
      </c>
      <c r="G11" s="18"/>
      <c r="H11" s="20"/>
      <c r="I11" s="20" t="s">
        <v>115</v>
      </c>
      <c r="J11" s="18"/>
      <c r="K11" s="18"/>
    </row>
    <row r="12" spans="1:11" ht="60" customHeight="1">
      <c r="A12" s="16" t="s">
        <v>148</v>
      </c>
      <c r="B12" s="16" t="s">
        <v>144</v>
      </c>
      <c r="C12" s="17" t="s">
        <v>149</v>
      </c>
      <c r="D12" s="17" t="s">
        <v>150</v>
      </c>
      <c r="E12" s="16" t="s">
        <v>151</v>
      </c>
      <c r="F12" s="17" t="s">
        <v>152</v>
      </c>
      <c r="G12" s="18"/>
      <c r="H12" s="20"/>
      <c r="I12" s="20" t="s">
        <v>115</v>
      </c>
      <c r="J12" s="18"/>
      <c r="K12" s="18"/>
    </row>
    <row r="13" spans="1:11" ht="60" customHeight="1">
      <c r="A13" s="16" t="s">
        <v>153</v>
      </c>
      <c r="B13" s="16" t="s">
        <v>134</v>
      </c>
      <c r="C13" s="17" t="s">
        <v>154</v>
      </c>
      <c r="D13" s="17" t="s">
        <v>155</v>
      </c>
      <c r="E13" s="16" t="s">
        <v>49</v>
      </c>
      <c r="F13" s="17" t="s">
        <v>156</v>
      </c>
      <c r="G13" s="18"/>
      <c r="H13" s="20"/>
      <c r="I13" s="20" t="s">
        <v>115</v>
      </c>
      <c r="J13" s="18"/>
      <c r="K13" s="18"/>
    </row>
    <row r="14" spans="1:11" ht="60" customHeight="1">
      <c r="A14" s="16" t="s">
        <v>157</v>
      </c>
      <c r="B14" s="16" t="s">
        <v>144</v>
      </c>
      <c r="C14" s="17" t="s">
        <v>158</v>
      </c>
      <c r="D14" s="17" t="s">
        <v>159</v>
      </c>
      <c r="E14" s="16" t="s">
        <v>49</v>
      </c>
      <c r="F14" s="17" t="s">
        <v>160</v>
      </c>
      <c r="G14" s="18"/>
      <c r="H14" s="20"/>
      <c r="I14" s="20" t="s">
        <v>115</v>
      </c>
      <c r="J14" s="18"/>
      <c r="K14" s="18"/>
    </row>
    <row r="15" spans="1:11" ht="60" customHeight="1">
      <c r="A15" s="16" t="s">
        <v>161</v>
      </c>
      <c r="B15" s="16" t="s">
        <v>144</v>
      </c>
      <c r="C15" s="17" t="s">
        <v>162</v>
      </c>
      <c r="D15" s="17" t="s">
        <v>163</v>
      </c>
      <c r="E15" s="16" t="s">
        <v>151</v>
      </c>
      <c r="F15" s="17" t="s">
        <v>164</v>
      </c>
      <c r="G15" s="18"/>
      <c r="H15" s="20"/>
      <c r="I15" s="20" t="s">
        <v>115</v>
      </c>
      <c r="J15" s="18"/>
      <c r="K15" s="18"/>
    </row>
    <row r="16" spans="1:11" ht="60" customHeight="1">
      <c r="A16" s="16" t="s">
        <v>60</v>
      </c>
      <c r="B16" s="16" t="s">
        <v>134</v>
      </c>
      <c r="C16" s="17" t="s">
        <v>165</v>
      </c>
      <c r="D16" s="17" t="s">
        <v>166</v>
      </c>
      <c r="E16" s="16" t="s">
        <v>57</v>
      </c>
      <c r="F16" s="17" t="s">
        <v>58</v>
      </c>
      <c r="G16" s="18"/>
      <c r="H16" s="20"/>
      <c r="I16" s="20" t="s">
        <v>115</v>
      </c>
      <c r="J16" s="18"/>
      <c r="K16" s="18"/>
    </row>
    <row r="17" spans="1:11" ht="60" customHeight="1">
      <c r="A17" s="16" t="s">
        <v>64</v>
      </c>
      <c r="B17" s="16" t="s">
        <v>144</v>
      </c>
      <c r="C17" s="17" t="s">
        <v>167</v>
      </c>
      <c r="D17" s="17" t="s">
        <v>168</v>
      </c>
      <c r="E17" s="16" t="s">
        <v>61</v>
      </c>
      <c r="F17" s="17" t="s">
        <v>62</v>
      </c>
      <c r="G17" s="18"/>
      <c r="H17" s="20"/>
      <c r="I17" s="20" t="s">
        <v>115</v>
      </c>
      <c r="J17" s="18"/>
      <c r="K17" s="18"/>
    </row>
    <row r="18" spans="1:11" ht="60" customHeight="1">
      <c r="A18" s="16" t="s">
        <v>68</v>
      </c>
      <c r="B18" s="16" t="s">
        <v>144</v>
      </c>
      <c r="C18" s="17" t="s">
        <v>169</v>
      </c>
      <c r="D18" s="17" t="s">
        <v>170</v>
      </c>
      <c r="E18" s="16" t="s">
        <v>171</v>
      </c>
      <c r="F18" s="17" t="s">
        <v>172</v>
      </c>
      <c r="G18" s="18"/>
      <c r="H18" s="20"/>
      <c r="I18" s="20" t="s">
        <v>115</v>
      </c>
      <c r="J18" s="18"/>
      <c r="K18" s="18"/>
    </row>
    <row r="19" spans="1:11" ht="60" customHeight="1">
      <c r="A19" s="16" t="s">
        <v>173</v>
      </c>
      <c r="B19" s="16" t="s">
        <v>128</v>
      </c>
      <c r="C19" s="17" t="s">
        <v>174</v>
      </c>
      <c r="D19" s="17" t="s">
        <v>175</v>
      </c>
      <c r="E19" s="16" t="s">
        <v>131</v>
      </c>
      <c r="F19" s="17" t="s">
        <v>176</v>
      </c>
      <c r="G19" s="18"/>
      <c r="H19" s="20"/>
      <c r="I19" s="20" t="s">
        <v>115</v>
      </c>
      <c r="J19" s="18"/>
      <c r="K19" s="18"/>
    </row>
    <row r="20" spans="1:11" ht="60" customHeight="1">
      <c r="A20" s="16" t="s">
        <v>177</v>
      </c>
      <c r="B20" s="16" t="s">
        <v>128</v>
      </c>
      <c r="C20" s="17" t="s">
        <v>178</v>
      </c>
      <c r="D20" s="17" t="s">
        <v>179</v>
      </c>
      <c r="E20" s="16" t="s">
        <v>180</v>
      </c>
      <c r="F20" s="17" t="s">
        <v>181</v>
      </c>
      <c r="G20" s="18"/>
      <c r="H20" s="20"/>
      <c r="I20" s="20" t="s">
        <v>115</v>
      </c>
      <c r="J20" s="18"/>
      <c r="K20" s="18"/>
    </row>
    <row r="21" spans="1:11" ht="60" customHeight="1">
      <c r="A21" s="16" t="s">
        <v>182</v>
      </c>
      <c r="B21" s="16" t="s">
        <v>128</v>
      </c>
      <c r="C21" s="17" t="s">
        <v>183</v>
      </c>
      <c r="D21" s="17" t="s">
        <v>184</v>
      </c>
      <c r="E21" s="16" t="s">
        <v>185</v>
      </c>
      <c r="F21" s="17" t="s">
        <v>186</v>
      </c>
      <c r="G21" s="18"/>
      <c r="H21" s="20"/>
      <c r="I21" s="20" t="s">
        <v>115</v>
      </c>
      <c r="J21" s="18"/>
      <c r="K21" s="18"/>
    </row>
    <row r="22" spans="1:11" ht="60" customHeight="1">
      <c r="A22" s="16" t="s">
        <v>84</v>
      </c>
      <c r="B22" s="16" t="s">
        <v>134</v>
      </c>
      <c r="C22" s="17" t="s">
        <v>187</v>
      </c>
      <c r="D22" s="17" t="s">
        <v>188</v>
      </c>
      <c r="E22" s="16" t="s">
        <v>81</v>
      </c>
      <c r="F22" s="17" t="s">
        <v>189</v>
      </c>
      <c r="G22" s="18"/>
      <c r="H22" s="20"/>
      <c r="I22" s="20" t="s">
        <v>115</v>
      </c>
      <c r="J22" s="18"/>
      <c r="K22" s="18"/>
    </row>
    <row r="23" spans="1:11" ht="60" customHeight="1">
      <c r="A23" s="16" t="s">
        <v>190</v>
      </c>
      <c r="B23" s="16" t="s">
        <v>144</v>
      </c>
      <c r="C23" s="17" t="s">
        <v>191</v>
      </c>
      <c r="D23" s="17" t="s">
        <v>192</v>
      </c>
      <c r="E23" s="16" t="s">
        <v>193</v>
      </c>
      <c r="F23" s="17" t="s">
        <v>194</v>
      </c>
      <c r="G23" s="18"/>
      <c r="H23" s="20"/>
      <c r="I23" s="20" t="s">
        <v>115</v>
      </c>
      <c r="J23" s="18"/>
      <c r="K23" s="18"/>
    </row>
    <row r="24" spans="1:11" ht="60" customHeight="1">
      <c r="A24" s="16" t="s">
        <v>195</v>
      </c>
      <c r="B24" s="16" t="s">
        <v>144</v>
      </c>
      <c r="C24" s="17" t="s">
        <v>196</v>
      </c>
      <c r="D24" s="17" t="s">
        <v>197</v>
      </c>
      <c r="E24" s="16" t="s">
        <v>89</v>
      </c>
      <c r="F24" s="17" t="s">
        <v>198</v>
      </c>
      <c r="G24" s="18"/>
      <c r="H24" s="20"/>
      <c r="I24" s="20" t="s">
        <v>115</v>
      </c>
      <c r="J24" s="18"/>
      <c r="K24" s="18"/>
    </row>
    <row r="25" spans="1:11" ht="60" customHeight="1">
      <c r="A25" s="16" t="s">
        <v>199</v>
      </c>
      <c r="B25" s="16" t="s">
        <v>144</v>
      </c>
      <c r="C25" s="17" t="s">
        <v>200</v>
      </c>
      <c r="D25" s="17" t="s">
        <v>201</v>
      </c>
      <c r="E25" s="16" t="s">
        <v>89</v>
      </c>
      <c r="F25" s="17" t="s">
        <v>202</v>
      </c>
      <c r="G25" s="18"/>
      <c r="H25" s="20"/>
      <c r="I25" s="20" t="s">
        <v>115</v>
      </c>
      <c r="J25" s="18"/>
      <c r="K25" s="18"/>
    </row>
    <row r="26" spans="1:11" ht="60" customHeight="1">
      <c r="A26" s="16" t="s">
        <v>203</v>
      </c>
      <c r="B26" s="16" t="s">
        <v>144</v>
      </c>
      <c r="C26" s="17" t="s">
        <v>204</v>
      </c>
      <c r="D26" s="17" t="s">
        <v>205</v>
      </c>
      <c r="E26" s="16" t="s">
        <v>89</v>
      </c>
      <c r="F26" s="17" t="s">
        <v>206</v>
      </c>
      <c r="G26" s="18"/>
      <c r="H26" s="20"/>
      <c r="I26" s="20" t="s">
        <v>115</v>
      </c>
      <c r="J26" s="18"/>
      <c r="K26" s="18"/>
    </row>
    <row r="27" spans="1:11" ht="60" customHeight="1">
      <c r="A27" s="16" t="s">
        <v>207</v>
      </c>
      <c r="B27" s="16" t="s">
        <v>134</v>
      </c>
      <c r="C27" s="17" t="s">
        <v>208</v>
      </c>
      <c r="D27" s="17" t="s">
        <v>209</v>
      </c>
      <c r="E27" s="16" t="s">
        <v>210</v>
      </c>
      <c r="F27" s="17" t="s">
        <v>211</v>
      </c>
      <c r="G27" s="18"/>
      <c r="H27" s="20"/>
      <c r="I27" s="20" t="s">
        <v>115</v>
      </c>
      <c r="J27" s="18"/>
      <c r="K27" s="18"/>
    </row>
    <row r="28" spans="1:11" ht="60" customHeight="1">
      <c r="A28" s="16" t="s">
        <v>212</v>
      </c>
      <c r="B28" s="16" t="s">
        <v>144</v>
      </c>
      <c r="C28" s="17" t="s">
        <v>213</v>
      </c>
      <c r="D28" s="17" t="s">
        <v>214</v>
      </c>
      <c r="E28" s="16" t="s">
        <v>215</v>
      </c>
      <c r="F28" s="17" t="s">
        <v>216</v>
      </c>
      <c r="G28" s="18"/>
      <c r="H28" s="20"/>
      <c r="I28" s="20" t="s">
        <v>115</v>
      </c>
      <c r="J28" s="18"/>
      <c r="K28" s="18"/>
    </row>
    <row r="29" spans="1:11" ht="60" customHeight="1">
      <c r="A29" s="16" t="s">
        <v>217</v>
      </c>
      <c r="B29" s="16" t="s">
        <v>144</v>
      </c>
      <c r="C29" s="17" t="s">
        <v>218</v>
      </c>
      <c r="D29" s="17" t="s">
        <v>219</v>
      </c>
      <c r="E29" s="16" t="s">
        <v>220</v>
      </c>
      <c r="F29" s="17" t="s">
        <v>221</v>
      </c>
      <c r="G29" s="18"/>
      <c r="H29" s="20"/>
      <c r="I29" s="20" t="s">
        <v>115</v>
      </c>
      <c r="J29" s="18"/>
      <c r="K29" s="18"/>
    </row>
    <row r="30" spans="1:11" ht="60" customHeight="1">
      <c r="A30" s="16" t="s">
        <v>222</v>
      </c>
      <c r="B30" s="16" t="s">
        <v>144</v>
      </c>
      <c r="C30" s="17" t="s">
        <v>223</v>
      </c>
      <c r="D30" s="17" t="s">
        <v>224</v>
      </c>
      <c r="E30" s="16" t="s">
        <v>225</v>
      </c>
      <c r="F30" s="17" t="s">
        <v>226</v>
      </c>
      <c r="G30" s="18"/>
      <c r="H30" s="20"/>
      <c r="I30" s="20" t="s">
        <v>115</v>
      </c>
      <c r="J30" s="18"/>
      <c r="K30" s="18"/>
    </row>
    <row r="31" spans="1:11" ht="60" customHeight="1">
      <c r="A31" s="16" t="s">
        <v>227</v>
      </c>
      <c r="B31" s="16" t="s">
        <v>144</v>
      </c>
      <c r="C31" s="17" t="s">
        <v>228</v>
      </c>
      <c r="D31" s="17" t="s">
        <v>229</v>
      </c>
      <c r="E31" s="16" t="s">
        <v>93</v>
      </c>
      <c r="F31" s="17" t="s">
        <v>230</v>
      </c>
      <c r="G31" s="18"/>
      <c r="H31" s="20"/>
      <c r="I31" s="20" t="s">
        <v>115</v>
      </c>
      <c r="J31" s="18"/>
      <c r="K31" s="18"/>
    </row>
    <row r="32" spans="1:11" ht="60" customHeight="1">
      <c r="A32" s="16" t="s">
        <v>231</v>
      </c>
      <c r="B32" s="16" t="s">
        <v>134</v>
      </c>
      <c r="C32" s="17" t="s">
        <v>232</v>
      </c>
      <c r="D32" s="17" t="s">
        <v>233</v>
      </c>
      <c r="E32" s="16" t="s">
        <v>234</v>
      </c>
      <c r="F32" s="17" t="s">
        <v>235</v>
      </c>
      <c r="G32" s="18"/>
      <c r="H32" s="20"/>
      <c r="I32" s="20" t="s">
        <v>115</v>
      </c>
      <c r="J32" s="18"/>
      <c r="K32" s="18"/>
    </row>
    <row r="33" spans="1:11" ht="60" customHeight="1">
      <c r="A33" s="16" t="s">
        <v>236</v>
      </c>
      <c r="B33" s="16" t="s">
        <v>128</v>
      </c>
      <c r="C33" s="17" t="s">
        <v>237</v>
      </c>
      <c r="D33" s="17" t="s">
        <v>238</v>
      </c>
      <c r="E33" s="16" t="s">
        <v>234</v>
      </c>
      <c r="F33" s="17" t="s">
        <v>239</v>
      </c>
      <c r="G33" s="18"/>
      <c r="H33" s="20"/>
      <c r="I33" s="20" t="s">
        <v>115</v>
      </c>
      <c r="J33" s="18"/>
      <c r="K33" s="18"/>
    </row>
    <row r="34" spans="1:11" ht="60" customHeight="1">
      <c r="A34" s="16" t="s">
        <v>240</v>
      </c>
      <c r="B34" s="16" t="s">
        <v>128</v>
      </c>
      <c r="C34" s="17" t="s">
        <v>241</v>
      </c>
      <c r="D34" s="17" t="s">
        <v>242</v>
      </c>
      <c r="E34" s="16" t="s">
        <v>234</v>
      </c>
      <c r="F34" s="17" t="s">
        <v>239</v>
      </c>
      <c r="G34" s="18"/>
      <c r="H34" s="20"/>
      <c r="I34" s="20" t="s">
        <v>115</v>
      </c>
      <c r="J34" s="18"/>
      <c r="K34" s="18"/>
    </row>
    <row r="35" spans="1:11" ht="60" customHeight="1">
      <c r="A35" s="16" t="s">
        <v>104</v>
      </c>
      <c r="B35" s="16" t="s">
        <v>134</v>
      </c>
      <c r="C35" s="17" t="s">
        <v>243</v>
      </c>
      <c r="D35" s="17" t="s">
        <v>244</v>
      </c>
      <c r="E35" s="16" t="s">
        <v>101</v>
      </c>
      <c r="F35" s="17" t="s">
        <v>245</v>
      </c>
      <c r="G35" s="18"/>
      <c r="H35" s="20"/>
      <c r="I35" s="20" t="s">
        <v>115</v>
      </c>
      <c r="J35" s="18"/>
      <c r="K35" s="18"/>
    </row>
    <row r="36" spans="1:11" ht="60" customHeight="1">
      <c r="A36" s="16" t="s">
        <v>246</v>
      </c>
      <c r="B36" s="16" t="s">
        <v>144</v>
      </c>
      <c r="C36" s="17" t="s">
        <v>247</v>
      </c>
      <c r="D36" s="17" t="s">
        <v>248</v>
      </c>
      <c r="E36" s="16" t="s">
        <v>105</v>
      </c>
      <c r="F36" s="17" t="s">
        <v>249</v>
      </c>
      <c r="G36" s="18"/>
      <c r="H36" s="20"/>
      <c r="I36" s="20" t="s">
        <v>115</v>
      </c>
      <c r="J36" s="18"/>
      <c r="K36" s="18"/>
    </row>
    <row r="37" spans="1:11" ht="60" customHeight="1">
      <c r="A37" s="16" t="s">
        <v>250</v>
      </c>
      <c r="B37" s="16" t="s">
        <v>144</v>
      </c>
      <c r="C37" s="17" t="s">
        <v>251</v>
      </c>
      <c r="D37" s="17" t="s">
        <v>252</v>
      </c>
      <c r="E37" s="16" t="s">
        <v>253</v>
      </c>
      <c r="F37" s="17" t="s">
        <v>254</v>
      </c>
      <c r="G37" s="18"/>
      <c r="H37" s="20"/>
      <c r="I37" s="20" t="s">
        <v>115</v>
      </c>
      <c r="J37" s="18"/>
      <c r="K37" s="18"/>
    </row>
    <row r="38" spans="1:11" ht="60" customHeight="1">
      <c r="A38" s="16" t="s">
        <v>255</v>
      </c>
      <c r="B38" s="16" t="s">
        <v>134</v>
      </c>
      <c r="C38" s="17" t="s">
        <v>256</v>
      </c>
      <c r="D38" s="17" t="s">
        <v>257</v>
      </c>
      <c r="E38" s="16" t="s">
        <v>258</v>
      </c>
      <c r="F38" s="17" t="s">
        <v>259</v>
      </c>
      <c r="G38" s="18"/>
      <c r="H38" s="20"/>
      <c r="I38" s="20" t="s">
        <v>115</v>
      </c>
      <c r="J38" s="18"/>
      <c r="K38" s="18"/>
    </row>
    <row r="39" spans="1:11" ht="60" customHeight="1">
      <c r="A39" s="16" t="s">
        <v>260</v>
      </c>
      <c r="B39" s="16" t="s">
        <v>128</v>
      </c>
      <c r="C39" s="17" t="s">
        <v>261</v>
      </c>
      <c r="D39" s="17" t="s">
        <v>262</v>
      </c>
      <c r="E39" s="16" t="s">
        <v>73</v>
      </c>
      <c r="F39" s="17" t="s">
        <v>263</v>
      </c>
      <c r="G39" s="18"/>
      <c r="H39" s="20"/>
      <c r="I39" s="20" t="s">
        <v>115</v>
      </c>
      <c r="J39" s="18"/>
      <c r="K39" s="18"/>
    </row>
    <row r="40" spans="1:11" ht="60" customHeight="1">
      <c r="A40" s="16" t="s">
        <v>264</v>
      </c>
      <c r="B40" s="16" t="s">
        <v>128</v>
      </c>
      <c r="C40" s="17" t="s">
        <v>265</v>
      </c>
      <c r="D40" s="17" t="s">
        <v>266</v>
      </c>
      <c r="E40" s="16" t="s">
        <v>267</v>
      </c>
      <c r="F40" s="17" t="s">
        <v>268</v>
      </c>
      <c r="G40" s="18"/>
      <c r="H40" s="20"/>
      <c r="I40" s="20" t="s">
        <v>115</v>
      </c>
      <c r="J40" s="18"/>
      <c r="K40" s="18"/>
    </row>
    <row r="41" spans="1:11" ht="60" customHeight="1">
      <c r="A41" s="16" t="s">
        <v>269</v>
      </c>
      <c r="B41" s="16" t="s">
        <v>128</v>
      </c>
      <c r="C41" s="17" t="s">
        <v>270</v>
      </c>
      <c r="D41" s="17" t="s">
        <v>271</v>
      </c>
      <c r="E41" s="16" t="s">
        <v>267</v>
      </c>
      <c r="F41" s="17" t="s">
        <v>268</v>
      </c>
      <c r="G41" s="18"/>
      <c r="H41" s="20"/>
      <c r="I41" s="20" t="s">
        <v>115</v>
      </c>
      <c r="J41" s="18"/>
      <c r="K41" s="18"/>
    </row>
    <row r="42" spans="1:11" ht="60" customHeight="1">
      <c r="A42" s="16" t="s">
        <v>272</v>
      </c>
      <c r="B42" s="16" t="s">
        <v>128</v>
      </c>
      <c r="C42" s="17" t="s">
        <v>273</v>
      </c>
      <c r="D42" s="17" t="s">
        <v>274</v>
      </c>
      <c r="E42" s="16" t="s">
        <v>267</v>
      </c>
      <c r="F42" s="17" t="s">
        <v>275</v>
      </c>
      <c r="G42" s="18"/>
      <c r="H42" s="20"/>
      <c r="I42" s="20" t="s">
        <v>115</v>
      </c>
      <c r="J42" s="18"/>
      <c r="K42" s="18"/>
    </row>
    <row r="43" spans="1:11" ht="60" customHeight="1">
      <c r="A43" s="16" t="s">
        <v>276</v>
      </c>
      <c r="B43" s="16" t="s">
        <v>128</v>
      </c>
      <c r="C43" s="17" t="s">
        <v>277</v>
      </c>
      <c r="D43" s="17" t="s">
        <v>278</v>
      </c>
      <c r="E43" s="16" t="s">
        <v>267</v>
      </c>
      <c r="F43" s="17" t="s">
        <v>279</v>
      </c>
      <c r="G43" s="18"/>
      <c r="H43" s="20"/>
      <c r="I43" s="20" t="s">
        <v>115</v>
      </c>
      <c r="J43" s="18"/>
      <c r="K43" s="18"/>
    </row>
    <row r="44" spans="1:11" ht="60" customHeight="1">
      <c r="A44" s="16" t="s">
        <v>280</v>
      </c>
      <c r="B44" s="16" t="s">
        <v>128</v>
      </c>
      <c r="C44" s="17" t="s">
        <v>281</v>
      </c>
      <c r="D44" s="17" t="s">
        <v>282</v>
      </c>
      <c r="E44" s="16" t="s">
        <v>267</v>
      </c>
      <c r="F44" s="17" t="s">
        <v>283</v>
      </c>
      <c r="G44" s="18"/>
      <c r="H44" s="20"/>
      <c r="I44" s="20" t="s">
        <v>115</v>
      </c>
      <c r="J44" s="18"/>
      <c r="K44" s="18"/>
    </row>
    <row r="45" spans="1:11">
      <c r="A45" s="1"/>
      <c r="B45" s="1"/>
      <c r="C45" s="1"/>
      <c r="D45" s="1"/>
      <c r="E45" s="1"/>
      <c r="F45" s="1"/>
      <c r="G45" s="1"/>
      <c r="H45" s="1"/>
      <c r="I45" s="1"/>
      <c r="J45" s="1"/>
      <c r="K45" s="1"/>
    </row>
  </sheetData>
  <mergeCells count="2">
    <mergeCell ref="A1:K2"/>
    <mergeCell ref="A3:K3"/>
  </mergeCells>
  <conditionalFormatting sqref="B8:B44">
    <cfRule type="expression" dxfId="7" priority="1">
      <formula>B8="Eingabe"</formula>
    </cfRule>
    <cfRule type="expression" dxfId="6" priority="2">
      <formula>B8="Ausgabe"</formula>
    </cfRule>
    <cfRule type="expression" dxfId="5" priority="3">
      <formula>B8="Eingabe / Ausgabe"</formula>
    </cfRule>
  </conditionalFormatting>
  <conditionalFormatting sqref="I8:I44">
    <cfRule type="expression" dxfId="4" priority="4">
      <formula>I8="Geprüft"</formula>
    </cfRule>
    <cfRule type="expression" dxfId="3" priority="5">
      <formula>I8="Freigegeben"</formula>
    </cfRule>
    <cfRule type="expression" dxfId="2" priority="6">
      <formula>I8="Nicht vorgelegt"</formula>
    </cfRule>
  </conditionalFormatting>
  <dataValidations count="1">
    <dataValidation type="list" sqref="I8:I44" xr:uid="{00000000-0002-0000-0200-000000000000}">
      <formula1>"Nicht vorgelegt,Vorgelegt,In Prüfung,Geprüft,Freigegeben,Nicht anwendbar"</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1"/>
  <sheetViews>
    <sheetView showGridLines="0" workbookViewId="0">
      <pane ySplit="5" topLeftCell="A6" activePane="bottomLeft" state="frozen"/>
      <selection pane="bottomLeft" sqref="A1:XFD5"/>
    </sheetView>
  </sheetViews>
  <sheetFormatPr baseColWidth="10" defaultColWidth="9" defaultRowHeight="14.25"/>
  <cols>
    <col min="1" max="1" width="10" customWidth="1"/>
    <col min="2" max="2" width="8" customWidth="1"/>
    <col min="3" max="3" width="58" customWidth="1"/>
    <col min="4" max="4" width="18" customWidth="1"/>
    <col min="5" max="5" width="22" customWidth="1"/>
    <col min="6" max="6" width="14" customWidth="1"/>
    <col min="7" max="7" width="20" customWidth="1"/>
  </cols>
  <sheetData>
    <row r="1" spans="1:7" ht="33.950000000000003" customHeight="1">
      <c r="A1" s="21" t="s">
        <v>284</v>
      </c>
      <c r="B1" s="21" t="s">
        <v>284</v>
      </c>
      <c r="C1" s="21" t="s">
        <v>284</v>
      </c>
      <c r="D1" s="21" t="s">
        <v>284</v>
      </c>
      <c r="E1" s="21" t="s">
        <v>284</v>
      </c>
      <c r="F1" s="21" t="s">
        <v>284</v>
      </c>
      <c r="G1" s="21" t="s">
        <v>284</v>
      </c>
    </row>
    <row r="2" spans="1:7" ht="33.950000000000003" customHeight="1">
      <c r="A2" s="21" t="s">
        <v>284</v>
      </c>
      <c r="B2" s="21" t="s">
        <v>284</v>
      </c>
      <c r="C2" s="21" t="s">
        <v>284</v>
      </c>
      <c r="D2" s="21" t="s">
        <v>284</v>
      </c>
      <c r="E2" s="21" t="s">
        <v>284</v>
      </c>
      <c r="F2" s="21" t="s">
        <v>284</v>
      </c>
      <c r="G2" s="21" t="s">
        <v>284</v>
      </c>
    </row>
    <row r="3" spans="1:7">
      <c r="A3" s="27" t="s">
        <v>285</v>
      </c>
      <c r="B3" s="27"/>
      <c r="C3" s="27"/>
      <c r="D3" s="27"/>
      <c r="E3" s="27"/>
      <c r="F3" s="27"/>
      <c r="G3" s="27"/>
    </row>
    <row r="4" spans="1:7">
      <c r="A4" s="1"/>
      <c r="B4" s="1"/>
      <c r="C4" s="1"/>
      <c r="D4" s="1"/>
      <c r="E4" s="1"/>
      <c r="F4" s="1"/>
      <c r="G4" s="1"/>
    </row>
    <row r="5" spans="1:7">
      <c r="A5" s="10" t="s">
        <v>116</v>
      </c>
      <c r="B5" s="10" t="s">
        <v>286</v>
      </c>
      <c r="C5" s="10" t="s">
        <v>287</v>
      </c>
      <c r="D5" s="10" t="s">
        <v>120</v>
      </c>
      <c r="E5" s="10" t="s">
        <v>125</v>
      </c>
      <c r="F5" s="10" t="s">
        <v>288</v>
      </c>
      <c r="G5" s="10" t="s">
        <v>124</v>
      </c>
    </row>
    <row r="6" spans="1:7" ht="33.950000000000003" customHeight="1">
      <c r="A6" s="10" t="s">
        <v>289</v>
      </c>
      <c r="B6" s="3"/>
      <c r="C6" s="3"/>
      <c r="D6" s="3"/>
      <c r="E6" s="3"/>
      <c r="F6" s="4"/>
      <c r="G6" s="3" t="s">
        <v>290</v>
      </c>
    </row>
    <row r="7" spans="1:7" ht="33.950000000000003" customHeight="1">
      <c r="A7" s="10" t="s">
        <v>291</v>
      </c>
      <c r="B7" s="3"/>
      <c r="C7" s="3"/>
      <c r="D7" s="3"/>
      <c r="E7" s="3"/>
      <c r="F7" s="4"/>
      <c r="G7" s="3" t="s">
        <v>290</v>
      </c>
    </row>
    <row r="8" spans="1:7" ht="33.950000000000003" customHeight="1">
      <c r="A8" s="10" t="s">
        <v>292</v>
      </c>
      <c r="B8" s="3"/>
      <c r="C8" s="3"/>
      <c r="D8" s="3"/>
      <c r="E8" s="3"/>
      <c r="F8" s="4"/>
      <c r="G8" s="3" t="s">
        <v>290</v>
      </c>
    </row>
    <row r="9" spans="1:7" ht="33.950000000000003" customHeight="1">
      <c r="A9" s="10" t="s">
        <v>293</v>
      </c>
      <c r="B9" s="3"/>
      <c r="C9" s="3"/>
      <c r="D9" s="3"/>
      <c r="E9" s="3"/>
      <c r="F9" s="4"/>
      <c r="G9" s="3" t="s">
        <v>290</v>
      </c>
    </row>
    <row r="10" spans="1:7" ht="33.950000000000003" customHeight="1">
      <c r="A10" s="10" t="s">
        <v>294</v>
      </c>
      <c r="B10" s="3"/>
      <c r="C10" s="3"/>
      <c r="D10" s="3"/>
      <c r="E10" s="3"/>
      <c r="F10" s="4"/>
      <c r="G10" s="3" t="s">
        <v>290</v>
      </c>
    </row>
    <row r="11" spans="1:7" ht="33.950000000000003" customHeight="1">
      <c r="A11" s="10" t="s">
        <v>295</v>
      </c>
      <c r="B11" s="3"/>
      <c r="C11" s="3"/>
      <c r="D11" s="3"/>
      <c r="E11" s="3"/>
      <c r="F11" s="4"/>
      <c r="G11" s="3" t="s">
        <v>290</v>
      </c>
    </row>
    <row r="12" spans="1:7" ht="33.950000000000003" customHeight="1">
      <c r="A12" s="10" t="s">
        <v>296</v>
      </c>
      <c r="B12" s="3"/>
      <c r="C12" s="3"/>
      <c r="D12" s="3"/>
      <c r="E12" s="3"/>
      <c r="F12" s="4"/>
      <c r="G12" s="3" t="s">
        <v>290</v>
      </c>
    </row>
    <row r="13" spans="1:7" ht="33.950000000000003" customHeight="1">
      <c r="A13" s="10" t="s">
        <v>297</v>
      </c>
      <c r="B13" s="3"/>
      <c r="C13" s="3"/>
      <c r="D13" s="3"/>
      <c r="E13" s="3"/>
      <c r="F13" s="4"/>
      <c r="G13" s="3" t="s">
        <v>290</v>
      </c>
    </row>
    <row r="14" spans="1:7" ht="33.950000000000003" customHeight="1">
      <c r="A14" s="10" t="s">
        <v>298</v>
      </c>
      <c r="B14" s="3"/>
      <c r="C14" s="3"/>
      <c r="D14" s="3"/>
      <c r="E14" s="3"/>
      <c r="F14" s="4"/>
      <c r="G14" s="3" t="s">
        <v>290</v>
      </c>
    </row>
    <row r="15" spans="1:7" ht="33.950000000000003" customHeight="1">
      <c r="A15" s="10" t="s">
        <v>299</v>
      </c>
      <c r="B15" s="3"/>
      <c r="C15" s="3"/>
      <c r="D15" s="3"/>
      <c r="E15" s="3"/>
      <c r="F15" s="4"/>
      <c r="G15" s="3" t="s">
        <v>290</v>
      </c>
    </row>
    <row r="16" spans="1:7" ht="33.950000000000003" customHeight="1">
      <c r="A16" s="10" t="s">
        <v>300</v>
      </c>
      <c r="B16" s="3"/>
      <c r="C16" s="3"/>
      <c r="D16" s="3"/>
      <c r="E16" s="3"/>
      <c r="F16" s="4"/>
      <c r="G16" s="3" t="s">
        <v>290</v>
      </c>
    </row>
    <row r="17" spans="1:7" ht="33.950000000000003" customHeight="1">
      <c r="A17" s="10" t="s">
        <v>301</v>
      </c>
      <c r="B17" s="3"/>
      <c r="C17" s="3"/>
      <c r="D17" s="3"/>
      <c r="E17" s="3"/>
      <c r="F17" s="4"/>
      <c r="G17" s="3" t="s">
        <v>290</v>
      </c>
    </row>
    <row r="18" spans="1:7" ht="33.950000000000003" customHeight="1">
      <c r="A18" s="10" t="s">
        <v>302</v>
      </c>
      <c r="B18" s="3"/>
      <c r="C18" s="3"/>
      <c r="D18" s="3"/>
      <c r="E18" s="3"/>
      <c r="F18" s="4"/>
      <c r="G18" s="3" t="s">
        <v>290</v>
      </c>
    </row>
    <row r="19" spans="1:7" ht="33.950000000000003" customHeight="1">
      <c r="A19" s="10" t="s">
        <v>303</v>
      </c>
      <c r="B19" s="3"/>
      <c r="C19" s="3"/>
      <c r="D19" s="3"/>
      <c r="E19" s="3"/>
      <c r="F19" s="4"/>
      <c r="G19" s="3" t="s">
        <v>290</v>
      </c>
    </row>
    <row r="20" spans="1:7" ht="33.950000000000003" customHeight="1">
      <c r="A20" s="10" t="s">
        <v>304</v>
      </c>
      <c r="B20" s="3"/>
      <c r="C20" s="3"/>
      <c r="D20" s="3"/>
      <c r="E20" s="3"/>
      <c r="F20" s="4"/>
      <c r="G20" s="3" t="s">
        <v>290</v>
      </c>
    </row>
    <row r="21" spans="1:7" ht="33.950000000000003" customHeight="1">
      <c r="A21" s="10" t="s">
        <v>305</v>
      </c>
      <c r="B21" s="3"/>
      <c r="C21" s="3"/>
      <c r="D21" s="3"/>
      <c r="E21" s="3"/>
      <c r="F21" s="4"/>
      <c r="G21" s="3" t="s">
        <v>290</v>
      </c>
    </row>
    <row r="22" spans="1:7" ht="33.950000000000003" customHeight="1">
      <c r="A22" s="10" t="s">
        <v>306</v>
      </c>
      <c r="B22" s="3"/>
      <c r="C22" s="3"/>
      <c r="D22" s="3"/>
      <c r="E22" s="3"/>
      <c r="F22" s="4"/>
      <c r="G22" s="3" t="s">
        <v>290</v>
      </c>
    </row>
    <row r="23" spans="1:7" ht="33.950000000000003" customHeight="1">
      <c r="A23" s="10" t="s">
        <v>307</v>
      </c>
      <c r="B23" s="3"/>
      <c r="C23" s="3"/>
      <c r="D23" s="3"/>
      <c r="E23" s="3"/>
      <c r="F23" s="4"/>
      <c r="G23" s="3" t="s">
        <v>290</v>
      </c>
    </row>
    <row r="24" spans="1:7" ht="33.950000000000003" customHeight="1">
      <c r="A24" s="10" t="s">
        <v>308</v>
      </c>
      <c r="B24" s="3"/>
      <c r="C24" s="3"/>
      <c r="D24" s="3"/>
      <c r="E24" s="3"/>
      <c r="F24" s="4"/>
      <c r="G24" s="3" t="s">
        <v>290</v>
      </c>
    </row>
    <row r="25" spans="1:7" ht="33.950000000000003" customHeight="1">
      <c r="A25" s="10" t="s">
        <v>309</v>
      </c>
      <c r="B25" s="3"/>
      <c r="C25" s="3"/>
      <c r="D25" s="3"/>
      <c r="E25" s="3"/>
      <c r="F25" s="4"/>
      <c r="G25" s="3" t="s">
        <v>290</v>
      </c>
    </row>
    <row r="26" spans="1:7">
      <c r="A26" s="1"/>
      <c r="B26" s="1"/>
      <c r="C26" s="1"/>
      <c r="D26" s="1"/>
      <c r="E26" s="1"/>
      <c r="F26" s="1"/>
      <c r="G26" s="1"/>
    </row>
    <row r="27" spans="1:7">
      <c r="A27" s="1"/>
      <c r="B27" s="1"/>
      <c r="C27" s="1"/>
      <c r="D27" s="1"/>
      <c r="E27" s="1"/>
      <c r="F27" s="1"/>
      <c r="G27" s="1"/>
    </row>
    <row r="28" spans="1:7">
      <c r="A28" s="1"/>
      <c r="B28" s="1"/>
      <c r="C28" s="1"/>
      <c r="D28" s="1"/>
      <c r="E28" s="1"/>
      <c r="F28" s="1"/>
      <c r="G28" s="1"/>
    </row>
    <row r="29" spans="1:7">
      <c r="A29" s="1"/>
      <c r="B29" s="1"/>
      <c r="C29" s="1"/>
      <c r="D29" s="1"/>
      <c r="E29" s="1"/>
      <c r="F29" s="1"/>
      <c r="G29" s="1"/>
    </row>
    <row r="30" spans="1:7">
      <c r="A30" s="1"/>
      <c r="B30" s="1"/>
      <c r="C30" s="1"/>
      <c r="D30" s="1"/>
      <c r="E30" s="1"/>
      <c r="F30" s="1"/>
      <c r="G30" s="1"/>
    </row>
    <row r="31" spans="1:7">
      <c r="A31" s="1"/>
      <c r="B31" s="1"/>
      <c r="C31" s="1"/>
      <c r="D31" s="1"/>
      <c r="E31" s="1"/>
      <c r="F31" s="1"/>
      <c r="G31" s="1"/>
    </row>
  </sheetData>
  <mergeCells count="2">
    <mergeCell ref="A1:G2"/>
    <mergeCell ref="A3:G3"/>
  </mergeCells>
  <conditionalFormatting sqref="G6:G25">
    <cfRule type="expression" dxfId="1" priority="1">
      <formula>G6="Erledigt"</formula>
    </cfRule>
    <cfRule type="expression" dxfId="0" priority="2">
      <formula>G6="Offen"</formula>
    </cfRule>
  </conditionalFormatting>
  <dataValidations count="2">
    <dataValidation type="list" sqref="B6:B25" xr:uid="{00000000-0002-0000-0300-000000000000}">
      <formula1>"A,I,B"</formula1>
    </dataValidation>
    <dataValidation type="list" sqref="G6:G25" xr:uid="{00000000-0002-0000-0300-000001000000}">
      <formula1>"Offen,In Bearbeitung,Erledigt,Zurückgestellt"</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showGridLines="0" workbookViewId="0">
      <pane ySplit="5" topLeftCell="A6" activePane="bottomLeft" state="frozen"/>
      <selection pane="bottomLeft" sqref="A1:XFD5"/>
    </sheetView>
  </sheetViews>
  <sheetFormatPr baseColWidth="10" defaultColWidth="9" defaultRowHeight="14.25"/>
  <cols>
    <col min="1" max="1" width="8" customWidth="1"/>
    <col min="2" max="2" width="42" customWidth="1"/>
    <col min="3" max="3" width="22" customWidth="1"/>
    <col min="4" max="6" width="9" customWidth="1"/>
    <col min="7" max="7" width="72" customWidth="1"/>
    <col min="8" max="8" width="58" customWidth="1"/>
  </cols>
  <sheetData>
    <row r="1" spans="1:8" ht="33.950000000000003" customHeight="1">
      <c r="A1" s="21" t="s">
        <v>310</v>
      </c>
      <c r="B1" s="21" t="s">
        <v>310</v>
      </c>
      <c r="C1" s="21" t="s">
        <v>310</v>
      </c>
      <c r="D1" s="21" t="s">
        <v>310</v>
      </c>
      <c r="E1" s="21" t="s">
        <v>310</v>
      </c>
      <c r="F1" s="21" t="s">
        <v>310</v>
      </c>
      <c r="G1" s="21" t="s">
        <v>310</v>
      </c>
      <c r="H1" s="21" t="s">
        <v>310</v>
      </c>
    </row>
    <row r="2" spans="1:8" ht="33.950000000000003" customHeight="1">
      <c r="A2" s="21" t="s">
        <v>310</v>
      </c>
      <c r="B2" s="21" t="s">
        <v>310</v>
      </c>
      <c r="C2" s="21" t="s">
        <v>310</v>
      </c>
      <c r="D2" s="21" t="s">
        <v>310</v>
      </c>
      <c r="E2" s="21" t="s">
        <v>310</v>
      </c>
      <c r="F2" s="21" t="s">
        <v>310</v>
      </c>
      <c r="G2" s="21" t="s">
        <v>310</v>
      </c>
      <c r="H2" s="21" t="s">
        <v>310</v>
      </c>
    </row>
    <row r="3" spans="1:8">
      <c r="A3" s="27" t="s">
        <v>311</v>
      </c>
      <c r="B3" s="27" t="s">
        <v>311</v>
      </c>
      <c r="C3" s="27" t="s">
        <v>311</v>
      </c>
      <c r="D3" s="27" t="s">
        <v>311</v>
      </c>
      <c r="E3" s="27" t="s">
        <v>311</v>
      </c>
      <c r="F3" s="27" t="s">
        <v>311</v>
      </c>
      <c r="G3" s="27" t="s">
        <v>311</v>
      </c>
      <c r="H3" s="27" t="s">
        <v>311</v>
      </c>
    </row>
    <row r="4" spans="1:8">
      <c r="A4" s="1"/>
      <c r="B4" s="1"/>
      <c r="C4" s="1"/>
      <c r="D4" s="1"/>
      <c r="E4" s="1"/>
      <c r="F4" s="1"/>
      <c r="G4" s="1"/>
      <c r="H4" s="1"/>
    </row>
    <row r="5" spans="1:8">
      <c r="A5" s="10" t="s">
        <v>36</v>
      </c>
      <c r="B5" s="10" t="s">
        <v>312</v>
      </c>
      <c r="C5" s="10" t="s">
        <v>313</v>
      </c>
      <c r="D5" s="10" t="s">
        <v>314</v>
      </c>
      <c r="E5" s="10" t="s">
        <v>315</v>
      </c>
      <c r="F5" s="10" t="s">
        <v>316</v>
      </c>
      <c r="G5" s="10" t="s">
        <v>317</v>
      </c>
      <c r="H5" s="10" t="s">
        <v>121</v>
      </c>
    </row>
    <row r="6" spans="1:8" ht="99.95" customHeight="1">
      <c r="A6" s="12" t="s">
        <v>46</v>
      </c>
      <c r="B6" s="14" t="s">
        <v>318</v>
      </c>
      <c r="C6" s="12" t="s">
        <v>319</v>
      </c>
      <c r="D6" s="12" t="s">
        <v>320</v>
      </c>
      <c r="E6" s="12" t="s">
        <v>321</v>
      </c>
      <c r="F6" s="12" t="s">
        <v>322</v>
      </c>
      <c r="G6" s="11" t="s">
        <v>323</v>
      </c>
      <c r="H6" s="11" t="s">
        <v>324</v>
      </c>
    </row>
    <row r="7" spans="1:8" ht="99.95" customHeight="1">
      <c r="A7" s="12" t="s">
        <v>49</v>
      </c>
      <c r="B7" s="14" t="s">
        <v>325</v>
      </c>
      <c r="C7" s="12" t="s">
        <v>326</v>
      </c>
      <c r="D7" s="12" t="s">
        <v>321</v>
      </c>
      <c r="E7" s="12" t="s">
        <v>321</v>
      </c>
      <c r="F7" s="12" t="s">
        <v>322</v>
      </c>
      <c r="G7" s="11" t="s">
        <v>327</v>
      </c>
      <c r="H7" s="11" t="s">
        <v>328</v>
      </c>
    </row>
    <row r="8" spans="1:8" ht="99.95" customHeight="1">
      <c r="A8" s="12" t="s">
        <v>53</v>
      </c>
      <c r="B8" s="14" t="s">
        <v>329</v>
      </c>
      <c r="C8" s="12" t="s">
        <v>330</v>
      </c>
      <c r="D8" s="12" t="s">
        <v>321</v>
      </c>
      <c r="E8" s="12" t="s">
        <v>321</v>
      </c>
      <c r="F8" s="12" t="s">
        <v>322</v>
      </c>
      <c r="G8" s="11" t="s">
        <v>331</v>
      </c>
      <c r="H8" s="11" t="s">
        <v>332</v>
      </c>
    </row>
    <row r="9" spans="1:8" ht="99.95" customHeight="1">
      <c r="A9" s="12" t="s">
        <v>57</v>
      </c>
      <c r="B9" s="14" t="s">
        <v>333</v>
      </c>
      <c r="C9" s="12" t="s">
        <v>334</v>
      </c>
      <c r="D9" s="12" t="s">
        <v>322</v>
      </c>
      <c r="E9" s="12" t="s">
        <v>322</v>
      </c>
      <c r="F9" s="12" t="s">
        <v>322</v>
      </c>
      <c r="G9" s="11" t="s">
        <v>335</v>
      </c>
      <c r="H9" s="11" t="s">
        <v>336</v>
      </c>
    </row>
    <row r="10" spans="1:8" ht="99.95" customHeight="1">
      <c r="A10" s="12" t="s">
        <v>61</v>
      </c>
      <c r="B10" s="14" t="s">
        <v>337</v>
      </c>
      <c r="C10" s="12" t="s">
        <v>338</v>
      </c>
      <c r="D10" s="12" t="s">
        <v>321</v>
      </c>
      <c r="E10" s="12" t="s">
        <v>321</v>
      </c>
      <c r="F10" s="12" t="s">
        <v>322</v>
      </c>
      <c r="G10" s="11" t="s">
        <v>339</v>
      </c>
      <c r="H10" s="11" t="s">
        <v>340</v>
      </c>
    </row>
    <row r="11" spans="1:8" ht="99.95" customHeight="1">
      <c r="A11" s="12" t="s">
        <v>65</v>
      </c>
      <c r="B11" s="14" t="s">
        <v>341</v>
      </c>
      <c r="C11" s="12" t="s">
        <v>338</v>
      </c>
      <c r="D11" s="12" t="s">
        <v>321</v>
      </c>
      <c r="E11" s="12" t="s">
        <v>322</v>
      </c>
      <c r="F11" s="12" t="s">
        <v>322</v>
      </c>
      <c r="G11" s="11" t="s">
        <v>342</v>
      </c>
      <c r="H11" s="11" t="s">
        <v>340</v>
      </c>
    </row>
    <row r="12" spans="1:8" ht="90" customHeight="1">
      <c r="A12" s="12"/>
      <c r="B12" s="14"/>
      <c r="C12" s="12"/>
      <c r="D12" s="12"/>
      <c r="E12" s="12"/>
      <c r="F12" s="12"/>
      <c r="G12" s="11"/>
      <c r="H12" s="11"/>
    </row>
    <row r="13" spans="1:8" ht="90" customHeight="1">
      <c r="A13" s="12"/>
      <c r="B13" s="14"/>
      <c r="C13" s="12"/>
      <c r="D13" s="12"/>
      <c r="E13" s="12"/>
      <c r="F13" s="12"/>
      <c r="G13" s="11"/>
      <c r="H13" s="11"/>
    </row>
    <row r="14" spans="1:8" ht="90" customHeight="1">
      <c r="A14" s="12"/>
      <c r="B14" s="14"/>
      <c r="C14" s="12"/>
      <c r="D14" s="12"/>
      <c r="E14" s="12"/>
      <c r="F14" s="12"/>
      <c r="G14" s="11"/>
      <c r="H14" s="11"/>
    </row>
    <row r="15" spans="1:8" ht="90" customHeight="1">
      <c r="A15" s="12"/>
      <c r="B15" s="14"/>
      <c r="C15" s="12"/>
      <c r="D15" s="12"/>
      <c r="E15" s="12"/>
      <c r="F15" s="12"/>
      <c r="G15" s="11"/>
      <c r="H15" s="11"/>
    </row>
    <row r="16" spans="1:8">
      <c r="A16" s="1"/>
      <c r="B16" s="1"/>
      <c r="C16" s="1"/>
      <c r="D16" s="1"/>
      <c r="E16" s="1"/>
      <c r="F16" s="1"/>
      <c r="G16" s="1"/>
      <c r="H16" s="1"/>
    </row>
    <row r="17" spans="1:8">
      <c r="A17" s="1"/>
      <c r="B17" s="1"/>
      <c r="C17" s="1"/>
      <c r="D17" s="1"/>
      <c r="E17" s="1"/>
      <c r="F17" s="1"/>
      <c r="G17" s="1"/>
      <c r="H17" s="1"/>
    </row>
    <row r="18" spans="1:8">
      <c r="A18" s="1"/>
      <c r="B18" s="1"/>
      <c r="C18" s="1"/>
      <c r="D18" s="1"/>
      <c r="E18" s="1"/>
      <c r="F18" s="1"/>
      <c r="G18" s="1"/>
      <c r="H18" s="1"/>
    </row>
  </sheetData>
  <mergeCells count="2">
    <mergeCell ref="A1:H2"/>
    <mergeCell ref="A3:H3"/>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8"/>
  <sheetViews>
    <sheetView showGridLines="0" workbookViewId="0">
      <selection sqref="A1:D2"/>
    </sheetView>
  </sheetViews>
  <sheetFormatPr baseColWidth="10" defaultColWidth="9" defaultRowHeight="14.25"/>
  <cols>
    <col min="1" max="1" width="14" customWidth="1"/>
    <col min="2" max="2" width="42" customWidth="1"/>
    <col min="3" max="3" width="48" customWidth="1"/>
    <col min="4" max="4" width="38" customWidth="1"/>
  </cols>
  <sheetData>
    <row r="1" spans="1:4" ht="33.950000000000003" customHeight="1">
      <c r="A1" s="21" t="s">
        <v>343</v>
      </c>
      <c r="B1" s="21" t="s">
        <v>343</v>
      </c>
      <c r="C1" s="21" t="s">
        <v>343</v>
      </c>
      <c r="D1" s="21" t="s">
        <v>343</v>
      </c>
    </row>
    <row r="2" spans="1:4" ht="33.950000000000003" customHeight="1">
      <c r="A2" s="21" t="s">
        <v>343</v>
      </c>
      <c r="B2" s="21" t="s">
        <v>343</v>
      </c>
      <c r="C2" s="21" t="s">
        <v>343</v>
      </c>
      <c r="D2" s="21" t="s">
        <v>343</v>
      </c>
    </row>
    <row r="3" spans="1:4">
      <c r="A3" s="1"/>
      <c r="B3" s="1"/>
      <c r="C3" s="1"/>
      <c r="D3" s="1"/>
    </row>
    <row r="4" spans="1:4" ht="24" customHeight="1">
      <c r="A4" s="23" t="s">
        <v>344</v>
      </c>
      <c r="B4" s="23" t="s">
        <v>344</v>
      </c>
      <c r="C4" s="23" t="s">
        <v>344</v>
      </c>
      <c r="D4" s="23" t="s">
        <v>344</v>
      </c>
    </row>
    <row r="5" spans="1:4">
      <c r="A5" s="9" t="s">
        <v>345</v>
      </c>
      <c r="B5" s="9" t="s">
        <v>346</v>
      </c>
      <c r="C5" s="9" t="s">
        <v>347</v>
      </c>
      <c r="D5" s="9" t="s">
        <v>348</v>
      </c>
    </row>
    <row r="6" spans="1:4" ht="48" customHeight="1">
      <c r="A6" s="15" t="s">
        <v>322</v>
      </c>
      <c r="B6" s="9" t="s">
        <v>349</v>
      </c>
      <c r="C6" s="9" t="s">
        <v>350</v>
      </c>
      <c r="D6" s="9" t="s">
        <v>351</v>
      </c>
    </row>
    <row r="7" spans="1:4" ht="48" customHeight="1">
      <c r="A7" s="15" t="s">
        <v>321</v>
      </c>
      <c r="B7" s="9" t="s">
        <v>352</v>
      </c>
      <c r="C7" s="9" t="s">
        <v>353</v>
      </c>
      <c r="D7" s="9" t="s">
        <v>351</v>
      </c>
    </row>
    <row r="8" spans="1:4" ht="48" customHeight="1">
      <c r="A8" s="15" t="s">
        <v>320</v>
      </c>
      <c r="B8" s="9" t="s">
        <v>354</v>
      </c>
      <c r="C8" s="9" t="s">
        <v>355</v>
      </c>
      <c r="D8" s="9" t="s">
        <v>351</v>
      </c>
    </row>
    <row r="9" spans="1:4" ht="48" customHeight="1">
      <c r="A9" s="15" t="s">
        <v>356</v>
      </c>
      <c r="B9" s="9" t="s">
        <v>357</v>
      </c>
      <c r="C9" s="9" t="s">
        <v>358</v>
      </c>
      <c r="D9" s="9" t="s">
        <v>351</v>
      </c>
    </row>
    <row r="10" spans="1:4">
      <c r="A10" s="1"/>
      <c r="B10" s="1"/>
      <c r="C10" s="1"/>
      <c r="D10" s="1"/>
    </row>
    <row r="11" spans="1:4" ht="24" customHeight="1">
      <c r="A11" s="23" t="s">
        <v>359</v>
      </c>
      <c r="B11" s="23" t="s">
        <v>359</v>
      </c>
      <c r="C11" s="23" t="s">
        <v>359</v>
      </c>
      <c r="D11" s="23" t="s">
        <v>359</v>
      </c>
    </row>
    <row r="12" spans="1:4">
      <c r="A12" s="9" t="s">
        <v>360</v>
      </c>
      <c r="B12" s="9" t="s">
        <v>361</v>
      </c>
      <c r="C12" s="9" t="s">
        <v>362</v>
      </c>
      <c r="D12" s="9" t="s">
        <v>363</v>
      </c>
    </row>
    <row r="13" spans="1:4" ht="51.95" customHeight="1">
      <c r="A13" s="9" t="s">
        <v>46</v>
      </c>
      <c r="B13" s="9" t="s">
        <v>364</v>
      </c>
      <c r="C13" s="9" t="s">
        <v>365</v>
      </c>
      <c r="D13" s="9" t="s">
        <v>366</v>
      </c>
    </row>
    <row r="14" spans="1:4" ht="51.95" customHeight="1">
      <c r="A14" s="9" t="s">
        <v>49</v>
      </c>
      <c r="B14" s="9" t="s">
        <v>367</v>
      </c>
      <c r="C14" s="9" t="s">
        <v>368</v>
      </c>
      <c r="D14" s="9" t="s">
        <v>369</v>
      </c>
    </row>
    <row r="15" spans="1:4" ht="51.95" customHeight="1">
      <c r="A15" s="9" t="s">
        <v>53</v>
      </c>
      <c r="B15" s="9" t="s">
        <v>370</v>
      </c>
      <c r="C15" s="9" t="s">
        <v>371</v>
      </c>
      <c r="D15" s="9" t="s">
        <v>372</v>
      </c>
    </row>
    <row r="16" spans="1:4" ht="51.95" customHeight="1">
      <c r="A16" s="9" t="s">
        <v>57</v>
      </c>
      <c r="B16" s="9" t="s">
        <v>373</v>
      </c>
      <c r="C16" s="9" t="s">
        <v>374</v>
      </c>
      <c r="D16" s="9" t="s">
        <v>375</v>
      </c>
    </row>
    <row r="17" spans="1:4" ht="51.95" customHeight="1">
      <c r="A17" s="9" t="s">
        <v>61</v>
      </c>
      <c r="B17" s="9" t="s">
        <v>376</v>
      </c>
      <c r="C17" s="9" t="s">
        <v>377</v>
      </c>
      <c r="D17" s="9" t="s">
        <v>378</v>
      </c>
    </row>
    <row r="18" spans="1:4" ht="51.95" customHeight="1">
      <c r="A18" s="9" t="s">
        <v>65</v>
      </c>
      <c r="B18" s="9" t="s">
        <v>379</v>
      </c>
      <c r="C18" s="9" t="s">
        <v>380</v>
      </c>
      <c r="D18" s="9" t="s">
        <v>381</v>
      </c>
    </row>
    <row r="19" spans="1:4" ht="51.95" customHeight="1">
      <c r="A19" s="9" t="s">
        <v>73</v>
      </c>
      <c r="B19" s="9" t="s">
        <v>382</v>
      </c>
      <c r="C19" s="9" t="s">
        <v>383</v>
      </c>
      <c r="D19" s="9" t="s">
        <v>384</v>
      </c>
    </row>
    <row r="20" spans="1:4">
      <c r="A20" s="1"/>
      <c r="B20" s="1"/>
      <c r="C20" s="1"/>
      <c r="D20" s="1"/>
    </row>
    <row r="21" spans="1:4">
      <c r="A21" s="28" t="s">
        <v>385</v>
      </c>
      <c r="B21" s="28" t="s">
        <v>385</v>
      </c>
      <c r="C21" s="28" t="s">
        <v>385</v>
      </c>
      <c r="D21" s="28" t="s">
        <v>385</v>
      </c>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1"/>
      <c r="B28" s="1"/>
      <c r="C28" s="1"/>
      <c r="D28" s="1"/>
    </row>
  </sheetData>
  <mergeCells count="4">
    <mergeCell ref="A1:D2"/>
    <mergeCell ref="A4:D4"/>
    <mergeCell ref="A11:D11"/>
    <mergeCell ref="A21:D21"/>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6"/>
  <sheetViews>
    <sheetView showGridLines="0" workbookViewId="0"/>
  </sheetViews>
  <sheetFormatPr baseColWidth="10" defaultColWidth="9" defaultRowHeight="14.25"/>
  <cols>
    <col min="1" max="1" width="52" customWidth="1"/>
    <col min="2" max="2" width="18" customWidth="1"/>
    <col min="3" max="3" width="38" customWidth="1"/>
  </cols>
  <sheetData>
    <row r="1" spans="1:3" ht="33.950000000000003" customHeight="1">
      <c r="A1" s="21" t="s">
        <v>386</v>
      </c>
      <c r="B1" s="21" t="s">
        <v>386</v>
      </c>
      <c r="C1" s="21" t="s">
        <v>386</v>
      </c>
    </row>
    <row r="2" spans="1:3" ht="33.950000000000003" customHeight="1">
      <c r="A2" s="21" t="s">
        <v>386</v>
      </c>
      <c r="B2" s="21" t="s">
        <v>386</v>
      </c>
      <c r="C2" s="21" t="s">
        <v>386</v>
      </c>
    </row>
    <row r="3" spans="1:3">
      <c r="A3" s="1"/>
      <c r="B3" s="1"/>
      <c r="C3" s="1"/>
    </row>
    <row r="4" spans="1:3">
      <c r="A4" s="10" t="s">
        <v>387</v>
      </c>
      <c r="B4" s="10" t="s">
        <v>388</v>
      </c>
      <c r="C4" s="10" t="s">
        <v>389</v>
      </c>
    </row>
    <row r="5" spans="1:3" ht="48" customHeight="1">
      <c r="A5" s="3"/>
      <c r="B5" s="4"/>
      <c r="C5" s="3"/>
    </row>
    <row r="6" spans="1:3" ht="48" customHeight="1">
      <c r="A6" s="3"/>
      <c r="B6" s="4"/>
      <c r="C6" s="3"/>
    </row>
    <row r="7" spans="1:3" ht="48" customHeight="1">
      <c r="A7" s="3"/>
      <c r="B7" s="4"/>
      <c r="C7" s="3"/>
    </row>
    <row r="8" spans="1:3" ht="48" customHeight="1">
      <c r="A8" s="3"/>
      <c r="B8" s="4"/>
      <c r="C8" s="3"/>
    </row>
    <row r="9" spans="1:3" ht="48" customHeight="1">
      <c r="A9" s="3"/>
      <c r="B9" s="4"/>
      <c r="C9" s="3"/>
    </row>
    <row r="10" spans="1:3" ht="48" customHeight="1">
      <c r="A10" s="3"/>
      <c r="B10" s="4"/>
      <c r="C10" s="3"/>
    </row>
    <row r="11" spans="1:3" ht="48" customHeight="1">
      <c r="A11" s="3"/>
      <c r="B11" s="4"/>
      <c r="C11" s="3"/>
    </row>
    <row r="12" spans="1:3">
      <c r="A12" s="1"/>
      <c r="B12" s="1"/>
      <c r="C12" s="1"/>
    </row>
    <row r="13" spans="1:3">
      <c r="A13" s="1"/>
      <c r="B13" s="1"/>
      <c r="C13" s="1"/>
    </row>
    <row r="14" spans="1:3">
      <c r="A14" s="1"/>
      <c r="B14" s="1"/>
      <c r="C14" s="1"/>
    </row>
    <row r="15" spans="1:3">
      <c r="A15" s="1"/>
      <c r="B15" s="1"/>
      <c r="C15" s="1"/>
    </row>
    <row r="16" spans="1:3">
      <c r="A16" s="1"/>
      <c r="B16" s="1"/>
      <c r="C16" s="1"/>
    </row>
  </sheetData>
  <mergeCells count="1">
    <mergeCell ref="A1:C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Übersicht</vt:lpstr>
      <vt:lpstr>Review 7.6-7.7</vt:lpstr>
      <vt:lpstr>Eingabe- &amp; Ausgabe</vt:lpstr>
      <vt:lpstr>Maßnahmen</vt:lpstr>
      <vt:lpstr>Anhang A.7</vt:lpstr>
      <vt:lpstr>Legende &amp; Hinweise</vt:lpstr>
      <vt:lpstr>Unterschriften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Julius</cp:lastModifiedBy>
  <dcterms:modified xsi:type="dcterms:W3CDTF">2026-08-05T22:18:11Z</dcterms:modified>
</cp:coreProperties>
</file>