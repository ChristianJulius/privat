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aec54e5f5474eb8" /></Relationships>
</file>

<file path=xl/workbook.xml><?xml version="1.0" encoding="utf-8"?>
<x:workbook xmlns:x="http://schemas.openxmlformats.org/spreadsheetml/2006/main">
  <x:sheets>
    <x:sheet xmlns:r="http://schemas.openxmlformats.org/officeDocument/2006/relationships" name="Übersicht" sheetId="1" r:id="R5c6d6caacae2443c"/>
    <x:sheet xmlns:r="http://schemas.openxmlformats.org/officeDocument/2006/relationships" name="Review 7.2" sheetId="2" r:id="R00cfd35e8c284ca2"/>
    <x:sheet xmlns:r="http://schemas.openxmlformats.org/officeDocument/2006/relationships" name="Eingabe- &amp; Ausgabe" sheetId="3" r:id="Rff223b6fdd8347f9"/>
    <x:sheet xmlns:r="http://schemas.openxmlformats.org/officeDocument/2006/relationships" name="Maßnahmen" sheetId="4" r:id="R7846d86f513443a9"/>
    <x:sheet xmlns:r="http://schemas.openxmlformats.org/officeDocument/2006/relationships" name="Anhang A.1" sheetId="5" r:id="R794fd6343eb0481d"/>
    <x:sheet xmlns:r="http://schemas.openxmlformats.org/officeDocument/2006/relationships" name="Legende &amp; Hinweise" sheetId="6" r:id="Raf0e491f5b054ef6"/>
    <x:sheet xmlns:r="http://schemas.openxmlformats.org/officeDocument/2006/relationships" name="Unterschriften" sheetId="7" r:id="Rb7ebc59a4e67498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x:numFmt numFmtId="201" formatCode="0%"/>
  </x:numFmts>
  <x:fonts count="11">
    <x:font>
      <x:sz val="11"/>
      <x:name val="Carlito"/>
    </x:font>
    <x:font>
      <x:sz val="10"/>
      <x:color rgb="FF222222"/>
      <x:name val="Aptos"/>
    </x:font>
    <x:font>
      <x:b/>
      <x:sz val="18"/>
      <x:color rgb="FFFFFFFF"/>
      <x:name val="Aptos Display"/>
    </x:font>
    <x:font>
      <x:i/>
      <x:sz val="10"/>
      <x:color rgb="FF17365D"/>
      <x:name val="Aptos"/>
    </x:font>
    <x:font>
      <x:b/>
      <x:sz val="11"/>
      <x:color rgb="FFFFFFFF"/>
      <x:name val="Aptos"/>
    </x:font>
    <x:font>
      <x:b/>
      <x:sz val="10"/>
      <x:color rgb="FF17365D"/>
      <x:name val="Aptos"/>
    </x:font>
    <x:font>
      <x:b/>
      <x:sz val="10"/>
      <x:color rgb="FFFFFFFF"/>
      <x:name val="Aptos"/>
    </x:font>
    <x:font>
      <x:b/>
      <x:sz val="14"/>
      <x:color rgb="FF17365D"/>
      <x:name val="Aptos"/>
    </x:font>
    <x:font>
      <x:b/>
      <x:sz val="11"/>
      <x:color rgb="FF17365D"/>
      <x:name val="Aptos"/>
    </x:font>
    <x:font>
      <x:b/>
      <x:sz val="12"/>
      <x:color rgb="FF17365D"/>
      <x:name val="Aptos"/>
    </x:font>
    <x:font>
      <x:i/>
      <x:sz val="9"/>
      <x:color rgb="FF595959"/>
      <x:name val="Aptos"/>
    </x:font>
  </x:fonts>
  <x:fills count="13">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AF3F8"/>
      </x:patternFill>
    </x:fill>
    <x:fill>
      <x:patternFill patternType="solid">
        <x:fgColor rgb="FFFFF2CC"/>
      </x:patternFill>
    </x:fill>
    <x:fill>
      <x:patternFill patternType="solid">
        <x:fgColor rgb="FF5B9BD5"/>
      </x:patternFill>
    </x:fill>
    <x:fill>
      <x:patternFill patternType="solid">
        <x:fgColor rgb="FFFFFFFF"/>
      </x:patternFill>
    </x:fill>
    <x:fill>
      <x:patternFill patternType="solid">
        <x:fgColor rgb="FFE7E6E6"/>
      </x:patternFill>
    </x:fill>
    <x:fill>
      <x:patternFill patternType="solid">
        <x:fgColor rgb="FFFFFFFF"/>
      </x:patternFill>
    </x:fill>
    <x:fill>
      <x:patternFill patternType="solid">
        <x:fgColor rgb="FFFFF2CC"/>
      </x:patternFill>
    </x:fill>
    <x:fill>
      <x:patternFill patternType="solid">
        <x:fgColor rgb="FFEAF3F8"/>
      </x:patternFill>
    </x:fill>
  </x:fills>
  <x:borders count="3">
    <x:border/>
    <x:border>
      <x:left style="thin">
        <x:color rgb="FFB4C6D7"/>
      </x:left>
      <x:right style="thin">
        <x:color rgb="FFB4C6D7"/>
      </x:right>
      <x:top style="thin">
        <x:color rgb="FFB4C6D7"/>
      </x:top>
      <x:bottom style="thin">
        <x:color rgb="FFB4C6D7"/>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6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horizontal="left" vertical="top"/>
    </x:xf>
    <x:xf numFmtId="0" fontId="2" fillId="2" borderId="0" xfId="0" applyNumberFormat="1" applyFont="1" applyFill="1" applyBorder="1" applyAlignment="1">
      <x:alignment horizontal="left" vertical="center"/>
    </x:xf>
    <x:xf numFmtId="0" fontId="1" fillId="3" borderId="0" xfId="0" applyNumberFormat="1" applyFont="1" applyFill="1" applyBorder="1" applyAlignment="1">
      <x:alignment vertical="top"/>
    </x:xf>
    <x:xf numFmtId="0" fontId="3" fillId="3" borderId="0" xfId="0" applyNumberFormat="1" applyFont="1" applyFill="1" applyBorder="1" applyAlignment="1">
      <x:alignment vertical="top"/>
    </x:xf>
    <x:xf numFmtId="0" fontId="3" fillId="3" borderId="0" xfId="0" applyNumberFormat="1" applyFont="1" applyFill="1" applyBorder="1" applyAlignment="1">
      <x:alignment vertical="center"/>
    </x:xf>
    <x:xf numFmtId="0" fontId="1" fillId="4" borderId="0" xfId="0" applyNumberFormat="1" applyFont="1" applyFill="1" applyBorder="1" applyAlignment="1">
      <x:alignment vertical="top"/>
    </x:xf>
    <x:xf numFmtId="0" fontId="4" fillId="4" borderId="0" xfId="0" applyNumberFormat="1" applyFont="1" applyFill="1" applyBorder="1" applyAlignment="1">
      <x:alignment vertical="top"/>
    </x:xf>
    <x:xf numFmtId="0" fontId="4" fillId="4" borderId="0" xfId="0" applyNumberFormat="1" applyFont="1" applyFill="1" applyBorder="1" applyAlignment="1">
      <x:alignment vertical="center"/>
    </x:xf>
    <x:xf numFmtId="0" fontId="1" fillId="5" borderId="0" xfId="0" applyNumberFormat="1" applyFont="1" applyFill="1" applyBorder="1" applyAlignment="1">
      <x:alignment vertical="top"/>
    </x:xf>
    <x:xf numFmtId="0" fontId="5" fillId="5" borderId="0" xfId="0" applyNumberFormat="1" applyFont="1" applyFill="1" applyBorder="1" applyAlignment="1">
      <x:alignment vertical="top"/>
    </x:xf>
    <x:xf numFmtId="0" fontId="5" fillId="5" borderId="1" xfId="0" applyNumberFormat="1" applyFont="1" applyFill="1" applyBorder="1" applyAlignment="1">
      <x:alignment vertical="top"/>
    </x:xf>
    <x:xf numFmtId="0" fontId="5" fillId="5" borderId="1" xfId="0" applyNumberFormat="1" applyFont="1" applyFill="1" applyBorder="1" applyAlignment="1">
      <x:alignment vertical="center"/>
    </x:xf>
    <x:xf numFmtId="0" fontId="1" fillId="6" borderId="0" xfId="0" applyNumberFormat="1" applyFont="1" applyFill="1" applyBorder="1" applyAlignment="1">
      <x:alignment vertical="top"/>
    </x:xf>
    <x:xf numFmtId="0" fontId="1" fillId="6" borderId="1" xfId="0" applyNumberFormat="1" applyFont="1" applyFill="1" applyBorder="1" applyAlignment="1">
      <x:alignment vertical="top"/>
    </x:xf>
    <x:xf numFmtId="0" fontId="1" fillId="6" borderId="1" xfId="0" applyNumberFormat="1" applyFont="1" applyFill="1" applyBorder="1" applyAlignment="1">
      <x:alignment vertical="top" wrapText="1"/>
    </x:xf>
    <x:xf numFmtId="200" fontId="1" fillId="6" borderId="1" xfId="0" applyNumberFormat="1" applyFont="1" applyFill="1" applyBorder="1" applyAlignment="1">
      <x:alignment vertical="top" wrapText="1"/>
    </x:xf>
    <x:xf numFmtId="0" fontId="1" fillId="7" borderId="0" xfId="0" applyNumberFormat="1" applyFont="1" applyFill="1" applyBorder="1" applyAlignment="1">
      <x:alignment vertical="top"/>
    </x:xf>
    <x:xf numFmtId="0" fontId="6" fillId="7" borderId="0" xfId="0" applyNumberFormat="1" applyFont="1" applyFill="1" applyBorder="1" applyAlignment="1">
      <x:alignment vertical="top"/>
    </x:xf>
    <x:xf numFmtId="0" fontId="6" fillId="7" borderId="2" xfId="0" applyNumberFormat="1" applyFont="1" applyFill="1" applyBorder="1" applyAlignment="1">
      <x:alignment vertical="top"/>
    </x:xf>
    <x:xf numFmtId="0" fontId="6" fillId="7" borderId="2" xfId="0" applyNumberFormat="1" applyFont="1" applyFill="1" applyBorder="1" applyAlignment="1">
      <x:alignment horizontal="center" vertical="top"/>
    </x:xf>
    <x:xf numFmtId="0" fontId="6" fillId="7" borderId="2" xfId="0" applyNumberFormat="1" applyFont="1" applyFill="1" applyBorder="1" applyAlignment="1">
      <x:alignment horizontal="center" vertical="center"/>
    </x:xf>
    <x:xf numFmtId="0" fontId="7" fillId="5" borderId="0" xfId="0" applyNumberFormat="1" applyFont="1" applyFill="1" applyBorder="1" applyAlignment="1">
      <x:alignment vertical="top"/>
    </x:xf>
    <x:xf numFmtId="0" fontId="7" fillId="5" borderId="1" xfId="0" applyNumberFormat="1" applyFont="1" applyFill="1" applyBorder="1" applyAlignment="1">
      <x:alignment vertical="top"/>
    </x:xf>
    <x:xf numFmtId="0" fontId="7" fillId="5" borderId="1" xfId="0" applyNumberFormat="1" applyFont="1" applyFill="1" applyBorder="1" applyAlignment="1">
      <x:alignment horizontal="center" vertical="top"/>
    </x:xf>
    <x:xf numFmtId="0" fontId="7" fillId="5" borderId="1" xfId="0" applyNumberFormat="1" applyFont="1" applyFill="1" applyBorder="1" applyAlignment="1">
      <x:alignment horizontal="center" vertical="center"/>
    </x:xf>
    <x:xf numFmtId="201" fontId="7" fillId="5" borderId="1" xfId="0" applyNumberFormat="1" applyFont="1" applyFill="1" applyBorder="1" applyAlignment="1">
      <x:alignment horizontal="center" vertical="center"/>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4" fillId="4" borderId="2" xfId="0" applyNumberFormat="1" applyFont="1" applyFill="1" applyBorder="1" applyAlignment="1">
      <x:alignment vertical="top"/>
    </x:xf>
    <x:xf numFmtId="0" fontId="4" fillId="4" borderId="2" xfId="0" applyNumberFormat="1" applyFont="1" applyFill="1" applyBorder="1" applyAlignment="1">
      <x:alignment vertical="center"/>
    </x:xf>
    <x:xf numFmtId="0" fontId="1" fillId="8"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8" borderId="1"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1" fillId="8" borderId="1" xfId="0" applyNumberFormat="1" applyFont="1" applyFill="1" applyBorder="1" applyAlignment="1">
      <x:alignment horizontal="center" vertical="top" wrapText="1"/>
    </x:xf>
    <x:xf numFmtId="0" fontId="1" fillId="6" borderId="1" xfId="0" applyNumberFormat="1" applyFont="1" applyFill="1" applyBorder="1" applyAlignment="1">
      <x:alignment horizontal="center" vertical="top" wrapText="1"/>
    </x:xf>
    <x:xf numFmtId="0" fontId="8" fillId="5" borderId="0" xfId="0" applyNumberFormat="1" applyFont="1" applyFill="1" applyBorder="1" applyAlignment="1">
      <x:alignment vertical="top"/>
    </x:xf>
    <x:xf numFmtId="0" fontId="8" fillId="5" borderId="1" xfId="0" applyNumberFormat="1" applyFont="1" applyFill="1" applyBorder="1" applyAlignment="1">
      <x:alignment vertical="top"/>
    </x:xf>
    <x:xf numFmtId="0" fontId="8" fillId="5" borderId="1" xfId="0" applyNumberFormat="1" applyFont="1" applyFill="1" applyBorder="1" applyAlignment="1">
      <x:alignment horizontal="center" vertical="top"/>
    </x:xf>
    <x:xf numFmtId="0" fontId="8" fillId="5" borderId="1" xfId="0" applyNumberFormat="1" applyFont="1" applyFill="1" applyBorder="1" applyAlignment="1">
      <x:alignment horizontal="center" vertical="center"/>
    </x:xf>
    <x:xf numFmtId="0" fontId="1" fillId="8" borderId="1" xfId="0" applyNumberFormat="1" applyFont="1" applyFill="1" applyBorder="1" applyAlignment="1">
      <x:alignment horizontal="left" vertical="top" wrapText="1"/>
    </x:xf>
    <x:xf numFmtId="0" fontId="1" fillId="0" borderId="0" xfId="0" applyNumberFormat="1" applyFont="1" applyFill="1" applyBorder="1" applyAlignment="1">
      <x:alignment horizontal="center" vertical="top" wrapText="1"/>
    </x:xf>
    <x:xf numFmtId="0" fontId="9" fillId="0" borderId="0" xfId="0" applyNumberFormat="1" applyFont="1" applyFill="1" applyBorder="1" applyAlignment="1">
      <x:alignment horizontal="center" vertical="top" wrapText="1"/>
    </x:xf>
    <x:xf numFmtId="0" fontId="1" fillId="9" borderId="0" xfId="0" applyNumberFormat="1" applyFont="1" applyFill="1" applyBorder="1" applyAlignment="1">
      <x:alignment vertical="top"/>
    </x:xf>
    <x:xf numFmtId="0" fontId="10" fillId="9" borderId="0" xfId="0" applyNumberFormat="1" applyFont="1" applyFill="1" applyBorder="1" applyAlignment="1">
      <x:alignment vertical="top"/>
    </x:xf>
    <x:xf numFmtId="0" fontId="1" fillId="10" borderId="1" xfId="0" applyNumberFormat="1" applyFont="1" applyFill="1" applyBorder="1" applyAlignment="1">
      <x:alignment horizontal="center" vertical="top" wrapText="1"/>
    </x:xf>
    <x:xf numFmtId="0" fontId="1" fillId="10" borderId="1" xfId="0" applyNumberFormat="1" applyFont="1" applyFill="1" applyBorder="1" applyAlignment="1">
      <x:alignment vertical="top" wrapText="1"/>
    </x:xf>
    <x:xf numFmtId="0" fontId="1" fillId="11" borderId="1" xfId="0" applyNumberFormat="1" applyFont="1" applyFill="1" applyBorder="1" applyAlignment="1">
      <x:alignment vertical="top" wrapText="1"/>
    </x:xf>
    <x:xf numFmtId="0" fontId="1" fillId="12" borderId="1" xfId="0" applyNumberFormat="1" applyFont="1" applyFill="1" applyBorder="1" applyAlignment="1">
      <x:alignment vertical="top" wrapText="1"/>
    </x:xf>
    <x:xf numFmtId="0" fontId="1" fillId="11" borderId="1" xfId="0" applyNumberFormat="1" applyFont="1" applyFill="1" applyBorder="1" applyAlignment="1">
      <x:alignment horizontal="center" vertical="top" wrapText="1"/>
    </x:xf>
    <x:xf numFmtId="0" fontId="1" fillId="10" borderId="1" xfId="0" applyNumberFormat="1" applyFont="1" applyFill="1" applyBorder="1" applyAlignment="1">
      <x:alignment horizontal="left" vertical="top" wrapText="1"/>
    </x:xf>
  </x:cellXfs>
  <x:cellStyles count="1">
    <x:cellStyle name="Normal" xfId="0"/>
  </x:cellStyles>
  <x:dxfs count="16">
    <x:dxf>
      <x:font>
        <x:b/>
        <x:color rgb="FF215E21"/>
      </x:font>
      <x:fill>
        <x:patternFill>
          <x:bgColor rgb="FFC6E0B4"/>
        </x:patternFill>
      </x:fill>
    </x:dxf>
    <x:dxf>
      <x:font>
        <x:b/>
        <x:color rgb="FF9C0006"/>
      </x:font>
      <x:fill>
        <x:patternFill>
          <x:bgColor rgb="FFF4CCCC"/>
        </x:patternFill>
      </x:fill>
    </x:dxf>
    <x:dxf>
      <x:font>
        <x:color rgb="FF595959"/>
      </x:font>
      <x:fill>
        <x:patternFill>
          <x:bgColor rgb="FFE7E6E6"/>
        </x:patternFill>
      </x:fill>
    </x:dxf>
    <x:dxf>
      <x:font>
        <x:color rgb="FF17365D"/>
      </x:font>
      <x:fill>
        <x:patternFill>
          <x:bgColor rgb="FFD9EAF7"/>
        </x:patternFill>
      </x:fill>
    </x:dxf>
    <x:dxf>
      <x:font>
        <x:b/>
        <x:color rgb="FF17365D"/>
      </x:font>
      <x:fill>
        <x:patternFill>
          <x:bgColor rgb="FFD9EAF7"/>
        </x:patternFill>
      </x:fill>
    </x:dxf>
    <x:dxf>
      <x:font>
        <x:b/>
        <x:color rgb="FF215E21"/>
      </x:font>
      <x:fill>
        <x:patternFill>
          <x:bgColor rgb="FFC6E0B4"/>
        </x:patternFill>
      </x:fill>
    </x:dxf>
    <x:dxf>
      <x:font>
        <x:b/>
        <x:color rgb="FF5F497A"/>
      </x:font>
      <x:fill>
        <x:patternFill>
          <x:bgColor rgb="FFE4DFEC"/>
        </x:patternFill>
      </x:fill>
    </x:dxf>
    <x:dxf>
      <x:font>
        <x:b/>
        <x:color rgb="FF17365D"/>
      </x:font>
      <x:fill>
        <x:patternFill>
          <x:bgColor rgb="FFD9EAF7"/>
        </x:patternFill>
      </x:fill>
    </x:dxf>
    <x:dxf>
      <x:font>
        <x:b/>
        <x:color rgb="FF215E21"/>
      </x:font>
      <x:fill>
        <x:patternFill>
          <x:bgColor rgb="FFC6E0B4"/>
        </x:patternFill>
      </x:fill>
    </x:dxf>
    <x:dxf>
      <x:font>
        <x:color rgb="FF9C0006"/>
      </x:font>
      <x:fill>
        <x:patternFill>
          <x:bgColor rgb="FFF4CCCC"/>
        </x:patternFill>
      </x:fill>
    </x:dxf>
    <x:dxf>
      <x:font>
        <x:b/>
        <x:color rgb="FF215E21"/>
      </x:font>
      <x:fill>
        <x:patternFill>
          <x:bgColor rgb="FFC6E0B4"/>
        </x:patternFill>
      </x:fill>
    </x:dxf>
    <x:dxf>
      <x:font>
        <x:color rgb="FF9C0006"/>
      </x:font>
      <x:fill>
        <x:patternFill>
          <x:bgColor rgb="FFF4CCCC"/>
        </x:patternFill>
      </x:fill>
    </x:dxf>
    <x:dxf>
      <x:font>
        <x:b/>
        <x:color rgb="FF215E21"/>
      </x:font>
      <x:fill>
        <x:patternFill patternType="solid">
          <x:bgColor rgb="FFC6E0B4"/>
        </x:patternFill>
      </x:fill>
    </x:dxf>
    <x:dxf>
      <x:font>
        <x:b/>
        <x:color rgb="FF9C0006"/>
      </x:font>
      <x:fill>
        <x:patternFill patternType="solid">
          <x:bgColor rgb="FFF4CCCC"/>
        </x:patternFill>
      </x:fill>
    </x:dxf>
    <x:dxf>
      <x:font>
        <x:color rgb="FF595959"/>
      </x:font>
      <x:fill>
        <x:patternFill patternType="solid">
          <x:bgColor rgb="FFE7E6E6"/>
        </x:patternFill>
      </x:fill>
    </x:dxf>
    <x:dxf>
      <x:font>
        <x:color rgb="FF17365D"/>
      </x:font>
      <x:fill>
        <x:patternFill patternType="solid">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181f53829c14058" /><Relationship Type="http://schemas.openxmlformats.org/officeDocument/2006/relationships/theme" Target="/xl/theme/theme1.xml" Id="R2c48651560264f63" /><Relationship Type="http://schemas.openxmlformats.org/officeDocument/2006/relationships/sharedStrings" Target="/xl/sharedStrings.xml" Id="R720d9db79d684ef4" /><Relationship Type="http://schemas.openxmlformats.org/officeDocument/2006/relationships/worksheet" Target="/xl/worksheets/sheet1.xml" Id="R5c6d6caacae2443c" /><Relationship Type="http://schemas.openxmlformats.org/officeDocument/2006/relationships/worksheet" Target="/xl/worksheets/sheet2.xml" Id="R00cfd35e8c284ca2" /><Relationship Type="http://schemas.openxmlformats.org/officeDocument/2006/relationships/worksheet" Target="/xl/worksheets/sheet3.xml" Id="Rff223b6fdd8347f9" /><Relationship Type="http://schemas.openxmlformats.org/officeDocument/2006/relationships/worksheet" Target="/xl/worksheets/sheet4.xml" Id="R7846d86f513443a9" /><Relationship Type="http://schemas.openxmlformats.org/officeDocument/2006/relationships/worksheet" Target="/xl/worksheets/sheet5.xml" Id="R794fd6343eb0481d" /><Relationship Type="http://schemas.openxmlformats.org/officeDocument/2006/relationships/worksheet" Target="/xl/worksheets/sheet6.xml" Id="Raf0e491f5b054ef6" /><Relationship Type="http://schemas.openxmlformats.org/officeDocument/2006/relationships/worksheet" Target="/xl/worksheets/sheet7.xml" Id="Rb7ebc59a4e674982" /></Relationships>
</file>

<file path=xl/tables/table1.xml><?xml version="1.0" encoding="utf-8"?>
<x:table xmlns:x="http://schemas.openxmlformats.org/spreadsheetml/2006/main" id="8" name="Reviewpunkte_7_2" displayName="Reviewpunkte_7_2" ref="A7:G20" headerRowCount="1" totalsRowCount="0" totalsRowShown="0">
  <x:autoFilter ref="A7:G20"/>
  <x:tableColumns count="7">
    <x:tableColumn id="1" name="Nr."/>
    <x:tableColumn id="2" name="Normkapitel"/>
    <x:tableColumn id="3" name="Prüffrage / Prüfkriterium"/>
    <x:tableColumn id="4" name="Prüfergebnis"/>
    <x:tableColumn id="5" name="Kommentar / Nachweis"/>
    <x:tableColumn id="6" name="E/A-Dokumente (IDs)"/>
    <x:tableColumn id="7" name="Status / OK"/>
  </x:tableColumns>
  <x:tableStyleInfo name="TableStyleMedium2" showFirstColumn="0" showLastColumn="0" showRowStripes="1" showColumnStripes="0"/>
</x:table>
</file>

<file path=xl/tables/table2.xml><?xml version="1.0" encoding="utf-8"?>
<x:table xmlns:x="http://schemas.openxmlformats.org/spreadsheetml/2006/main" id="9" name="Dokumentenregister_7_2" displayName="Dokumentenregister_7_2" ref="A7:K23" headerRowCount="1" totalsRowCount="0" totalsRowShown="0">
  <x:autoFilter ref="A7:K23"/>
  <x:tableColumns count="11">
    <x:tableColumn id="1" name="ID"/>
    <x:tableColumn id="2" name="Art"/>
    <x:tableColumn id="3" name="Normbegriff / Dokument"/>
    <x:tableColumn id="4" name="Funktion / erwarteter Inhalt"/>
    <x:tableColumn id="5" name="Bezug Prüfpunkt"/>
    <x:tableColumn id="6" name="Normreferenz"/>
    <x:tableColumn id="7" name="Dokumentkennung / Referenz"/>
    <x:tableColumn id="8" name="Version / Index"/>
    <x:tableColumn id="9" name="Status"/>
    <x:tableColumn id="10" name="Verantwortlich"/>
    <x:tableColumn id="11" name="Ablageort / Link"/>
  </x:tableColumns>
  <x:tableStyleInfo name="TableStyleMedium2" showFirstColumn="0" showLastColumn="0" showRowStripes="1" showColumnStripes="0"/>
</x:table>
</file>

<file path=xl/tables/table3.xml><?xml version="1.0" encoding="utf-8"?>
<x:table xmlns:x="http://schemas.openxmlformats.org/spreadsheetml/2006/main" id="3" name="ReviewMassnahmen" displayName="ReviewMassnahmen" ref="A5:G25" headerRowCount="1" totalsRowCount="0" totalsRowShown="0">
  <x:autoFilter ref="A5:G25"/>
  <x:tableColumns count="7">
    <x:tableColumn id="1" name="ID"/>
    <x:tableColumn id="2" name="Typ"/>
    <x:tableColumn id="3" name="Review-Ergebnis / Maßnahme"/>
    <x:tableColumn id="4" name="Bezug Prüfpunkt"/>
    <x:tableColumn id="5" name="Verantwortlich"/>
    <x:tableColumn id="6" name="Fällig am"/>
    <x:tableColumn id="7" name="Status"/>
  </x:tableColumns>
  <x:tableStyleInfo name="TableStyleMedium2" showFirstColumn="0" showLastColumn="0" showRowStripes="1" showColumnStripes="0"/>
</x:table>
</file>

<file path=xl/tables/table4.xml><?xml version="1.0" encoding="utf-8"?>
<x:table xmlns:x="http://schemas.openxmlformats.org/spreadsheetml/2006/main" id="10" name="Anhang_7_2" displayName="Anhang_7_2" ref="A5:H10" headerRowCount="1" totalsRowCount="0" totalsRowShown="0">
  <x:autoFilter ref="A5:H10"/>
  <x:tableColumns count="8">
    <x:tableColumn id="1" name="Nr."/>
    <x:tableColumn id="2" name="Verfahren / Maßnahme"/>
    <x:tableColumn id="3" name="Siehe"/>
    <x:tableColumn id="4" name="SIL 1"/>
    <x:tableColumn id="5" name="SIL 2"/>
    <x:tableColumn id="6" name="SIL 3"/>
    <x:tableColumn id="7" name="Erläuterung"/>
    <x:tableColumn id="8" name="Normreferenz"/>
  </x:tableColumns>
  <x:tableStyleInfo name="TableStyleMedium2" showFirstColumn="0" showLastColumn="0" showRowStripes="1" showColumnStripes="0"/>
</x:table>
</file>

<file path=xl/tables/table5.xml><?xml version="1.0" encoding="utf-8"?>
<x:table xmlns:x="http://schemas.openxmlformats.org/spreadsheetml/2006/main" id="5" name="Empfehlungslegende" displayName="Empfehlungslegende" ref="A5:D9" headerRowCount="1" totalsRowCount="0" totalsRowShown="0">
  <x:tableColumns count="4">
    <x:tableColumn id="1" name="Kennzeichen"/>
    <x:tableColumn id="2" name="Bedeutung"/>
    <x:tableColumn id="3" name="Anwendung im Review"/>
    <x:tableColumn id="4" name="Geltungsbereich"/>
  </x:tableColumns>
  <x:tableStyleInfo name="TableStyleMedium2" showFirstColumn="0" showLastColumn="0" showRowStripes="1" showColumnStripes="0"/>
</x:table>
</file>

<file path=xl/tables/table6.xml><?xml version="1.0" encoding="utf-8"?>
<x:table xmlns:x="http://schemas.openxmlformats.org/spreadsheetml/2006/main" id="6" name="Arbeitsweise" displayName="Arbeitsweise" ref="A12:D19" headerRowCount="1" totalsRowCount="0" totalsRowShown="0">
  <x:tableColumns count="4">
    <x:tableColumn id="1" name="Schritt"/>
    <x:tableColumn id="2" name="Vorgehen"/>
    <x:tableColumn id="3" name="Dokumentation"/>
    <x:tableColumn id="4" name="Hinweis"/>
  </x:tableColumns>
  <x:tableStyleInfo name="TableStyleMedium2" showFirstColumn="0" showLastColumn="0" showRowStripes="1" showColumnStripes="0"/>
</x:table>
</file>

<file path=xl/tables/table7.xml><?xml version="1.0" encoding="utf-8"?>
<x:table xmlns:x="http://schemas.openxmlformats.org/spreadsheetml/2006/main" id="7" name="ReviewUnterschriften" displayName="ReviewUnterschriften" ref="A4:C11" headerRowCount="1" totalsRowCount="0" totalsRowShown="0">
  <x:tableColumns count="3">
    <x:tableColumn id="1" name="Name, Vorname, Abteilung, Funktion"/>
    <x:tableColumn id="2" name="Datum"/>
    <x:tableColumn id="3" name="Unterschrift / Bestätigu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c9fe365d5294426" /></Relationships>
</file>

<file path=xl/worksheets/_rels/sheet3.xml.rels>&#65279;<?xml version="1.0" encoding="utf-8"?><Relationships xmlns="http://schemas.openxmlformats.org/package/2006/relationships"><Relationship Type="http://schemas.openxmlformats.org/officeDocument/2006/relationships/table" Target="/xl/tables/table2.xml" Id="Rd8603c7f214c4065" /></Relationships>
</file>

<file path=xl/worksheets/_rels/sheet4.xml.rels>&#65279;<?xml version="1.0" encoding="utf-8"?><Relationships xmlns="http://schemas.openxmlformats.org/package/2006/relationships"><Relationship Type="http://schemas.openxmlformats.org/officeDocument/2006/relationships/table" Target="/xl/tables/table3.xml" Id="R775a15112fbd417f" /></Relationships>
</file>

<file path=xl/worksheets/_rels/sheet5.xml.rels>&#65279;<?xml version="1.0" encoding="utf-8"?><Relationships xmlns="http://schemas.openxmlformats.org/package/2006/relationships"><Relationship Type="http://schemas.openxmlformats.org/officeDocument/2006/relationships/table" Target="/xl/tables/table4.xml" Id="Re549d9e89ace4bae" /></Relationships>
</file>

<file path=xl/worksheets/_rels/sheet6.xml.rels>&#65279;<?xml version="1.0" encoding="utf-8"?><Relationships xmlns="http://schemas.openxmlformats.org/package/2006/relationships"><Relationship Type="http://schemas.openxmlformats.org/officeDocument/2006/relationships/table" Target="/xl/tables/table5.xml" Id="R5c18d0c802f0446c" /><Relationship Type="http://schemas.openxmlformats.org/officeDocument/2006/relationships/table" Target="/xl/tables/table6.xml" Id="R157a9579d6e04f0c" /></Relationships>
</file>

<file path=xl/worksheets/_rels/sheet7.xml.rels>&#65279;<?xml version="1.0" encoding="utf-8"?><Relationships xmlns="http://schemas.openxmlformats.org/package/2006/relationships"><Relationship Type="http://schemas.openxmlformats.org/officeDocument/2006/relationships/table" Target="/xl/tables/table7.xml" Id="R03aed2ba30ec452e"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4" hidden="0" customWidth="1"/>
    <x:col min="3" max="3" width="14" hidden="0" customWidth="1"/>
    <x:col min="4" max="4" width="14" hidden="0" customWidth="1"/>
    <x:col min="5" max="5" width="19" hidden="0" customWidth="1"/>
    <x:col min="6" max="6" width="14" hidden="0" customWidth="1"/>
    <x:col min="7" max="7" width="14" hidden="0" customWidth="1"/>
    <x:col min="8" max="8" width="14" hidden="0" customWidth="1"/>
  </x:cols>
  <x:sheetData>
    <x:row r="1" ht="34" customHeight="1">
      <x:c r="A1" s="6" t="str">
        <x:v>Reviewprotokoll IEC 61508-3 – Kapitel 7.2 Spezifikation der Anforderungen an die Sicherheit der Software</x:v>
      </x:c>
      <x:c r="B1" s="6" t="str">
        <x:v>Reviewprotokoll IEC 61508-3 – Kapitel 7.2 Spezifikation der Anforderungen an die Sicherheit der Software</x:v>
      </x:c>
      <x:c r="C1" s="6" t="str">
        <x:v>Reviewprotokoll IEC 61508-3 – Kapitel 7.2 Spezifikation der Anforderungen an die Sicherheit der Software</x:v>
      </x:c>
      <x:c r="D1" s="6" t="str">
        <x:v>Reviewprotokoll IEC 61508-3 – Kapitel 7.2 Spezifikation der Anforderungen an die Sicherheit der Software</x:v>
      </x:c>
      <x:c r="E1" s="6" t="str">
        <x:v>Reviewprotokoll IEC 61508-3 – Kapitel 7.2 Spezifikation der Anforderungen an die Sicherheit der Software</x:v>
      </x:c>
      <x:c r="F1" s="6" t="str">
        <x:v>Reviewprotokoll IEC 61508-3 – Kapitel 7.2 Spezifikation der Anforderungen an die Sicherheit der Software</x:v>
      </x:c>
      <x:c r="G1" s="6" t="str">
        <x:v>Reviewprotokoll IEC 61508-3 – Kapitel 7.2 Spezifikation der Anforderungen an die Sicherheit der Software</x:v>
      </x:c>
      <x:c r="H1" s="6" t="str">
        <x:v>Reviewprotokoll IEC 61508-3 – Kapitel 7.2 Spezifikation der Anforderungen an die Sicherheit der Software</x:v>
      </x:c>
    </x:row>
    <x:row r="2" ht="34" customHeight="1">
      <x:c r="A2" s="6" t="str">
        <x:v>Reviewprotokoll IEC 61508-3 – Kapitel 7.2 Spezifikation der Anforderungen an die Sicherheit der Software</x:v>
      </x:c>
      <x:c r="B2" s="6" t="str">
        <x:v>Reviewprotokoll IEC 61508-3 – Kapitel 7.2 Spezifikation der Anforderungen an die Sicherheit der Software</x:v>
      </x:c>
      <x:c r="C2" s="6" t="str">
        <x:v>Reviewprotokoll IEC 61508-3 – Kapitel 7.2 Spezifikation der Anforderungen an die Sicherheit der Software</x:v>
      </x:c>
      <x:c r="D2" s="6" t="str">
        <x:v>Reviewprotokoll IEC 61508-3 – Kapitel 7.2 Spezifikation der Anforderungen an die Sicherheit der Software</x:v>
      </x:c>
      <x:c r="E2" s="6" t="str">
        <x:v>Reviewprotokoll IEC 61508-3 – Kapitel 7.2 Spezifikation der Anforderungen an die Sicherheit der Software</x:v>
      </x:c>
      <x:c r="F2" s="6" t="str">
        <x:v>Reviewprotokoll IEC 61508-3 – Kapitel 7.2 Spezifikation der Anforderungen an die Sicherheit der Software</x:v>
      </x:c>
      <x:c r="G2" s="6" t="str">
        <x:v>Reviewprotokoll IEC 61508-3 – Kapitel 7.2 Spezifikation der Anforderungen an die Sicherheit der Software</x:v>
      </x:c>
      <x:c r="H2" s="6" t="str">
        <x:v>Reviewprotokoll IEC 61508-3 – Kapitel 7.2 Spezifikation der Anforderungen an die Sicherheit der Software</x:v>
      </x:c>
    </x:row>
    <x:row r="3">
      <x:c r="A3" s="9" t="str">
        <x:v>Strukturierte Arbeitsmappe für SIL 1 bis SIL 3 · Eingabefelder sind gelb markiert</x:v>
      </x:c>
      <x:c r="B3" s="9"/>
      <x:c r="C3" s="9"/>
      <x:c r="D3" s="9"/>
      <x:c r="E3" s="9"/>
      <x:c r="F3" s="9"/>
      <x:c r="G3" s="9"/>
      <x:c r="H3" s="9"/>
    </x:row>
    <x:row r="4">
      <x:c r="A4" s="2"/>
      <x:c r="B4" s="2"/>
      <x:c r="C4" s="2"/>
      <x:c r="D4" s="2"/>
      <x:c r="E4" s="2"/>
      <x:c r="F4" s="2"/>
      <x:c r="G4" s="2"/>
      <x:c r="H4" s="2"/>
    </x:row>
    <x:row r="5" ht="24" customHeight="1">
      <x:c r="A5" s="12" t="str">
        <x:v>Reviewdaten</x:v>
      </x:c>
      <x:c r="B5" s="12" t="str">
        <x:v>Reviewdaten</x:v>
      </x:c>
      <x:c r="C5" s="12" t="str">
        <x:v>Reviewdaten</x:v>
      </x:c>
      <x:c r="D5" s="12" t="str">
        <x:v>Reviewdaten</x:v>
      </x:c>
      <x:c r="E5" s="12" t="str">
        <x:v>Reviewdaten</x:v>
      </x:c>
      <x:c r="F5" s="12" t="str">
        <x:v>Reviewdaten</x:v>
      </x:c>
      <x:c r="G5" s="12" t="str">
        <x:v>Reviewdaten</x:v>
      </x:c>
      <x:c r="H5" s="12" t="str">
        <x:v>Reviewdaten</x:v>
      </x:c>
    </x:row>
    <x:row r="6">
      <x:c r="A6" s="16" t="str">
        <x:v>Projekt / Teilprojekt</x:v>
      </x:c>
      <x:c r="B6" s="19" t="str"/>
      <x:c r="C6" s="19" t="str"/>
      <x:c r="D6" s="19" t="str"/>
      <x:c r="E6" s="16" t="str">
        <x:v>Review-Gegenstand</x:v>
      </x:c>
      <x:c r="F6" s="19" t="str"/>
      <x:c r="G6" s="19" t="str"/>
      <x:c r="H6" s="19" t="str"/>
    </x:row>
    <x:row r="7">
      <x:c r="A7" s="16" t="str">
        <x:v>Dokument / Referenz</x:v>
      </x:c>
      <x:c r="B7" s="19" t="str"/>
      <x:c r="C7" s="19" t="str"/>
      <x:c r="D7" s="19" t="str"/>
      <x:c r="E7" s="16" t="str">
        <x:v>Index</x:v>
      </x:c>
      <x:c r="F7" s="19" t="str"/>
      <x:c r="G7" s="19" t="str"/>
      <x:c r="H7" s="19" t="str"/>
    </x:row>
    <x:row r="8">
      <x:c r="A8" s="16" t="str">
        <x:v>SIL</x:v>
      </x:c>
      <x:c r="B8" s="19" t="str"/>
      <x:c r="C8" s="19" t="str"/>
      <x:c r="D8" s="19" t="str"/>
      <x:c r="E8" s="16" t="str">
        <x:v>Checkliste</x:v>
      </x:c>
      <x:c r="F8" s="19" t="str">
        <x:v>IEC 61508-3: Kapitel 7.2 Spezifikation der Anforderungen an die Sicherheit der Software</x:v>
      </x:c>
      <x:c r="G8" s="19" t="str">
        <x:v>IEC 61508-3: Kapitel 7.2 Spezifikation der Anforderungen an die Sicherheit der Software</x:v>
      </x:c>
      <x:c r="H8" s="19" t="str">
        <x:v>IEC 61508-3: Kapitel 7.2 Spezifikation der Anforderungen an die Sicherheit der Software</x:v>
      </x:c>
    </x:row>
    <x:row r="9">
      <x:c r="A9" s="16" t="str">
        <x:v>Ort</x:v>
      </x:c>
      <x:c r="B9" s="19" t="str"/>
      <x:c r="C9" s="19" t="str"/>
      <x:c r="D9" s="19" t="str"/>
      <x:c r="E9" s="16" t="str">
        <x:v>Datum / Zeitraum</x:v>
      </x:c>
      <x:c r="F9" s="20" t="str"/>
      <x:c r="G9" s="20" t="str"/>
      <x:c r="H9" s="20" t="str"/>
    </x:row>
    <x:row r="10">
      <x:c r="A10" s="16" t="str">
        <x:v>Reviewleitung</x:v>
      </x:c>
      <x:c r="B10" s="19" t="str"/>
      <x:c r="C10" s="19" t="str"/>
      <x:c r="D10" s="19" t="str"/>
      <x:c r="E10" s="16" t="str">
        <x:v>Protokollführung</x:v>
      </x:c>
      <x:c r="F10" s="19" t="str"/>
      <x:c r="G10" s="19" t="str"/>
      <x:c r="H10" s="19" t="str"/>
    </x:row>
    <x:row r="11">
      <x:c r="A11" s="2"/>
      <x:c r="B11" s="2"/>
      <x:c r="C11" s="2"/>
      <x:c r="D11" s="2"/>
      <x:c r="E11" s="2"/>
      <x:c r="F11" s="2"/>
      <x:c r="G11" s="2"/>
      <x:c r="H11" s="2"/>
    </x:row>
    <x:row r="12" ht="24" customHeight="1">
      <x:c r="A12" s="12" t="str">
        <x:v>Teilnehmer</x:v>
      </x:c>
      <x:c r="B12" s="12" t="str">
        <x:v>Teilnehmer</x:v>
      </x:c>
      <x:c r="C12" s="12" t="str">
        <x:v>Teilnehmer</x:v>
      </x:c>
      <x:c r="D12" s="12" t="str">
        <x:v>Teilnehmer</x:v>
      </x:c>
      <x:c r="E12" s="12" t="str">
        <x:v>Teilnehmer</x:v>
      </x:c>
      <x:c r="F12" s="12" t="str">
        <x:v>Teilnehmer</x:v>
      </x:c>
      <x:c r="G12" s="12" t="str">
        <x:v>Teilnehmer</x:v>
      </x:c>
      <x:c r="H12" s="12" t="str">
        <x:v>Teilnehmer</x:v>
      </x:c>
    </x:row>
    <x:row r="13">
      <x:c r="A13" s="16" t="str">
        <x:v>Teilnehmer 1</x:v>
      </x:c>
      <x:c r="B13" s="19" t="str"/>
      <x:c r="C13" s="19" t="str"/>
      <x:c r="D13" s="19" t="str"/>
      <x:c r="E13" s="19" t="str"/>
      <x:c r="F13" s="19" t="str"/>
      <x:c r="G13" s="19" t="str"/>
      <x:c r="H13" s="19" t="str"/>
    </x:row>
    <x:row r="14">
      <x:c r="A14" s="16" t="str">
        <x:v>Teilnehmer 2</x:v>
      </x:c>
      <x:c r="B14" s="19" t="str"/>
      <x:c r="C14" s="19" t="str"/>
      <x:c r="D14" s="19" t="str"/>
      <x:c r="E14" s="19" t="str"/>
      <x:c r="F14" s="19" t="str"/>
      <x:c r="G14" s="19" t="str"/>
      <x:c r="H14" s="19" t="str"/>
    </x:row>
    <x:row r="15">
      <x:c r="A15" s="16" t="str">
        <x:v>Teilnehmer 3</x:v>
      </x:c>
      <x:c r="B15" s="19" t="str"/>
      <x:c r="C15" s="19" t="str"/>
      <x:c r="D15" s="19" t="str"/>
      <x:c r="E15" s="19" t="str"/>
      <x:c r="F15" s="19" t="str"/>
      <x:c r="G15" s="19" t="str"/>
      <x:c r="H15" s="19" t="str"/>
    </x:row>
    <x:row r="16">
      <x:c r="A16" s="16" t="str">
        <x:v>Teilnehmer 4</x:v>
      </x:c>
      <x:c r="B16" s="19" t="str"/>
      <x:c r="C16" s="19" t="str"/>
      <x:c r="D16" s="19" t="str"/>
      <x:c r="E16" s="19" t="str"/>
      <x:c r="F16" s="19" t="str"/>
      <x:c r="G16" s="19" t="str"/>
      <x:c r="H16" s="19" t="str"/>
    </x:row>
    <x:row r="17">
      <x:c r="A17" s="2"/>
      <x:c r="B17" s="2"/>
      <x:c r="C17" s="2"/>
      <x:c r="D17" s="2"/>
      <x:c r="E17" s="2"/>
      <x:c r="F17" s="2"/>
      <x:c r="G17" s="2"/>
      <x:c r="H17" s="2"/>
    </x:row>
    <x:row r="18" ht="24" customHeight="1">
      <x:c r="A18" s="12" t="str">
        <x:v>Fortschritt und Review-Ergebnis</x:v>
      </x:c>
      <x:c r="B18" s="12" t="str">
        <x:v>Fortschritt und Review-Ergebnis</x:v>
      </x:c>
      <x:c r="C18" s="12" t="str">
        <x:v>Fortschritt und Review-Ergebnis</x:v>
      </x:c>
      <x:c r="D18" s="12" t="str">
        <x:v>Fortschritt und Review-Ergebnis</x:v>
      </x:c>
      <x:c r="E18" s="12" t="str">
        <x:v>Fortschritt und Review-Ergebnis</x:v>
      </x:c>
      <x:c r="F18" s="12" t="str">
        <x:v>Fortschritt und Review-Ergebnis</x:v>
      </x:c>
      <x:c r="G18" s="12" t="str">
        <x:v>Fortschritt und Review-Ergebnis</x:v>
      </x:c>
      <x:c r="H18" s="12" t="str">
        <x:v>Fortschritt und Review-Ergebnis</x:v>
      </x:c>
    </x:row>
    <x:row r="19">
      <x:c r="A19" s="25" t="str">
        <x:v>Prüfpunkte</x:v>
      </x:c>
      <x:c r="B19" s="25" t="str"/>
      <x:c r="C19" s="25" t="str">
        <x:v>OK</x:v>
      </x:c>
      <x:c r="D19" s="25" t="str"/>
      <x:c r="E19" s="25" t="str">
        <x:v>Nicht OK</x:v>
      </x:c>
      <x:c r="F19" s="25" t="str"/>
      <x:c r="G19" s="25" t="str">
        <x:v>Nicht geprüft</x:v>
      </x:c>
      <x:c r="H19" s="25" t="str">
        <x:v>Abschluss</x:v>
      </x:c>
    </x:row>
    <x:row r="20">
      <x:c r="A20" s="29" t="n">
        <x:f>COUNTA('Review 7.2'!B8:B20)</x:f>
        <x:v>13</x:v>
      </x:c>
      <x:c r="B20" s="29"/>
      <x:c r="C20" s="29" t="n">
        <x:f>COUNTIF('Review 7.2'!G8:G20,"OK")</x:f>
        <x:v>0</x:v>
      </x:c>
      <x:c r="D20" s="29"/>
      <x:c r="E20" s="29" t="n">
        <x:f>COUNTIF('Review 7.2'!G8:G20,"Nicht OK")</x:f>
        <x:v>0</x:v>
      </x:c>
      <x:c r="F20" s="29"/>
      <x:c r="G20" s="29" t="n">
        <x:f>COUNTIF('Review 7.2'!G8:G20,"Nicht geprüft")</x:f>
        <x:v>13</x:v>
      </x:c>
      <x:c r="H20" s="30" t="n">
        <x:f>IF(A20=0,0,(C20+COUNTIF('Review 7.2'!G8:G20,"n. a."))/A20)</x:f>
        <x:v>0</x:v>
      </x:c>
    </x:row>
    <x:row r="21">
      <x:c r="A21" s="2"/>
      <x:c r="B21" s="2"/>
      <x:c r="C21" s="2"/>
      <x:c r="D21" s="2"/>
      <x:c r="E21" s="2"/>
      <x:c r="F21" s="2"/>
      <x:c r="G21" s="2"/>
      <x:c r="H21" s="2"/>
    </x:row>
    <x:row r="22">
      <x:c r="A22" s="16" t="str">
        <x:v>Gesamtergebnis</x:v>
      </x:c>
      <x:c r="B22" s="19" t="str"/>
      <x:c r="C22" s="19" t="str"/>
      <x:c r="D22" s="19" t="str"/>
      <x:c r="E22" s="19" t="str"/>
      <x:c r="F22" s="19" t="str"/>
      <x:c r="G22" s="19" t="str"/>
      <x:c r="H22" s="19" t="str"/>
    </x:row>
    <x:row r="23" ht="28" customHeight="1">
      <x:c r="A23" s="16" t="str">
        <x:v>Ergebnis / Begründung</x:v>
      </x:c>
      <x:c r="B23" s="19" t="str"/>
      <x:c r="C23" s="19" t="str"/>
      <x:c r="D23" s="19" t="str"/>
      <x:c r="E23" s="19" t="str"/>
      <x:c r="F23" s="19" t="str"/>
      <x:c r="G23" s="19" t="str"/>
      <x:c r="H23" s="19" t="str"/>
    </x:row>
    <x:row r="24" ht="28" customHeight="1">
      <x:c r="A24" s="2"/>
      <x:c r="B24" s="19" t="str"/>
      <x:c r="C24" s="19" t="str"/>
      <x:c r="D24" s="19" t="str"/>
      <x:c r="E24" s="19" t="str"/>
      <x:c r="F24" s="19" t="str"/>
      <x:c r="G24" s="19" t="str"/>
      <x:c r="H24" s="19" t="str"/>
    </x:row>
    <x:row r="25" ht="28" customHeight="1">
      <x:c r="A25" s="2"/>
      <x:c r="B25" s="19" t="str"/>
      <x:c r="C25" s="19" t="str"/>
      <x:c r="D25" s="19" t="str"/>
      <x:c r="E25" s="19" t="str"/>
      <x:c r="F25" s="19" t="str"/>
      <x:c r="G25" s="19" t="str"/>
      <x:c r="H25" s="19" t="str"/>
    </x:row>
    <x:row r="26">
      <x:c r="A26" s="2"/>
      <x:c r="B26" s="2"/>
      <x:c r="C26" s="2"/>
      <x:c r="D26" s="2"/>
      <x:c r="E26" s="2"/>
      <x:c r="F26" s="2"/>
      <x:c r="G26" s="2"/>
      <x:c r="H26" s="2"/>
    </x:row>
    <x:row r="27" ht="26" customHeight="1">
      <x:c r="A27" s="16" t="str">
        <x:v>Zusammenfassung</x:v>
      </x:c>
      <x:c r="B27" s="19" t="str">
        <x:v>Das Dokument wurde auf konzeptionelle Fehler, inhaltliche Fehler und auf Konformität zu den Anforderungen der IEC 61508 geprüft.</x:v>
      </x:c>
      <x:c r="C27" s="19" t="str">
        <x:v>Das Dokument wurde auf konzeptionelle Fehler, inhaltliche Fehler und auf Konformität zu den Anforderungen der IEC 61508 geprüft.</x:v>
      </x:c>
      <x:c r="D27" s="19" t="str">
        <x:v>Das Dokument wurde auf konzeptionelle Fehler, inhaltliche Fehler und auf Konformität zu den Anforderungen der IEC 61508 geprüft.</x:v>
      </x:c>
      <x:c r="E27" s="19" t="str">
        <x:v>Das Dokument wurde auf konzeptionelle Fehler, inhaltliche Fehler und auf Konformität zu den Anforderungen der IEC 61508 geprüft.</x:v>
      </x:c>
      <x:c r="F27" s="19" t="str">
        <x:v>Das Dokument wurde auf konzeptionelle Fehler, inhaltliche Fehler und auf Konformität zu den Anforderungen der IEC 61508 geprüft.</x:v>
      </x:c>
      <x:c r="G27" s="19" t="str">
        <x:v>Das Dokument wurde auf konzeptionelle Fehler, inhaltliche Fehler und auf Konformität zu den Anforderungen der IEC 61508 geprüft.</x:v>
      </x:c>
      <x:c r="H27" s="19" t="str">
        <x:v>Das Dokument wurde auf konzeptionelle Fehler, inhaltliche Fehler und auf Konformität zu den Anforderungen der IEC 61508 geprüft.</x:v>
      </x:c>
    </x:row>
    <x:row r="28" ht="26" customHeight="1">
      <x:c r="A28" s="2"/>
      <x:c r="B28" s="19" t="str">
        <x:v>Das Dokument wurde auf konzeptionelle Fehler, inhaltliche Fehler und auf Konformität zu den Anforderungen der IEC 61508 geprüft.</x:v>
      </x:c>
      <x:c r="C28" s="19" t="str">
        <x:v>Das Dokument wurde auf konzeptionelle Fehler, inhaltliche Fehler und auf Konformität zu den Anforderungen der IEC 61508 geprüft.</x:v>
      </x:c>
      <x:c r="D28" s="19" t="str">
        <x:v>Das Dokument wurde auf konzeptionelle Fehler, inhaltliche Fehler und auf Konformität zu den Anforderungen der IEC 61508 geprüft.</x:v>
      </x:c>
      <x:c r="E28" s="19" t="str">
        <x:v>Das Dokument wurde auf konzeptionelle Fehler, inhaltliche Fehler und auf Konformität zu den Anforderungen der IEC 61508 geprüft.</x:v>
      </x:c>
      <x:c r="F28" s="19" t="str">
        <x:v>Das Dokument wurde auf konzeptionelle Fehler, inhaltliche Fehler und auf Konformität zu den Anforderungen der IEC 61508 geprüft.</x:v>
      </x:c>
      <x:c r="G28" s="19" t="str">
        <x:v>Das Dokument wurde auf konzeptionelle Fehler, inhaltliche Fehler und auf Konformität zu den Anforderungen der IEC 61508 geprüft.</x:v>
      </x:c>
      <x:c r="H28" s="19" t="str">
        <x:v>Das Dokument wurde auf konzeptionelle Fehler, inhaltliche Fehler und auf Konformität zu den Anforderungen der IEC 61508 geprüft.</x:v>
      </x:c>
    </x:row>
    <x:row r="29" ht="26" customHeight="1">
      <x:c r="A29" s="2"/>
      <x:c r="B29" s="19" t="str">
        <x:v>Das Dokument wurde auf konzeptionelle Fehler, inhaltliche Fehler und auf Konformität zu den Anforderungen der IEC 61508 geprüft.</x:v>
      </x:c>
      <x:c r="C29" s="19" t="str">
        <x:v>Das Dokument wurde auf konzeptionelle Fehler, inhaltliche Fehler und auf Konformität zu den Anforderungen der IEC 61508 geprüft.</x:v>
      </x:c>
      <x:c r="D29" s="19" t="str">
        <x:v>Das Dokument wurde auf konzeptionelle Fehler, inhaltliche Fehler und auf Konformität zu den Anforderungen der IEC 61508 geprüft.</x:v>
      </x:c>
      <x:c r="E29" s="19" t="str">
        <x:v>Das Dokument wurde auf konzeptionelle Fehler, inhaltliche Fehler und auf Konformität zu den Anforderungen der IEC 61508 geprüft.</x:v>
      </x:c>
      <x:c r="F29" s="19" t="str">
        <x:v>Das Dokument wurde auf konzeptionelle Fehler, inhaltliche Fehler und auf Konformität zu den Anforderungen der IEC 61508 geprüft.</x:v>
      </x:c>
      <x:c r="G29" s="19" t="str">
        <x:v>Das Dokument wurde auf konzeptionelle Fehler, inhaltliche Fehler und auf Konformität zu den Anforderungen der IEC 61508 geprüft.</x:v>
      </x:c>
      <x:c r="H29" s="19" t="str">
        <x:v>Das Dokument wurde auf konzeptionelle Fehler, inhaltliche Fehler und auf Konformität zu den Anforderungen der IEC 61508 geprüft.</x:v>
      </x:c>
    </x:row>
    <x:row r="30" ht="26" customHeight="1">
      <x:c r="A30" s="2"/>
      <x:c r="B30" s="19" t="str">
        <x:v>Das Dokument wurde auf konzeptionelle Fehler, inhaltliche Fehler und auf Konformität zu den Anforderungen der IEC 61508 geprüft.</x:v>
      </x:c>
      <x:c r="C30" s="19" t="str">
        <x:v>Das Dokument wurde auf konzeptionelle Fehler, inhaltliche Fehler und auf Konformität zu den Anforderungen der IEC 61508 geprüft.</x:v>
      </x:c>
      <x:c r="D30" s="19" t="str">
        <x:v>Das Dokument wurde auf konzeptionelle Fehler, inhaltliche Fehler und auf Konformität zu den Anforderungen der IEC 61508 geprüft.</x:v>
      </x:c>
      <x:c r="E30" s="19" t="str">
        <x:v>Das Dokument wurde auf konzeptionelle Fehler, inhaltliche Fehler und auf Konformität zu den Anforderungen der IEC 61508 geprüft.</x:v>
      </x:c>
      <x:c r="F30" s="19" t="str">
        <x:v>Das Dokument wurde auf konzeptionelle Fehler, inhaltliche Fehler und auf Konformität zu den Anforderungen der IEC 61508 geprüft.</x:v>
      </x:c>
      <x:c r="G30" s="19" t="str">
        <x:v>Das Dokument wurde auf konzeptionelle Fehler, inhaltliche Fehler und auf Konformität zu den Anforderungen der IEC 61508 geprüft.</x:v>
      </x:c>
      <x:c r="H30" s="19" t="str">
        <x:v>Das Dokument wurde auf konzeptionelle Fehler, inhaltliche Fehler und auf Konformität zu den Anforderungen der IEC 61508 geprüft.</x:v>
      </x:c>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sheetData>
  <x:mergeCells>
    <x:mergeCell ref="A1:H2"/>
    <x:mergeCell ref="A3:H3"/>
    <x:mergeCell ref="A5:H5"/>
    <x:mergeCell ref="B6:D6"/>
    <x:mergeCell ref="F6:H6"/>
    <x:mergeCell ref="B7:D7"/>
    <x:mergeCell ref="F7:H7"/>
    <x:mergeCell ref="B8:D8"/>
    <x:mergeCell ref="F8:H8"/>
    <x:mergeCell ref="B9:D9"/>
    <x:mergeCell ref="F9:H9"/>
    <x:mergeCell ref="B10:D10"/>
    <x:mergeCell ref="F10:H10"/>
    <x:mergeCell ref="A12:H12"/>
    <x:mergeCell ref="B13:H13"/>
    <x:mergeCell ref="B14:H14"/>
    <x:mergeCell ref="B15:H15"/>
    <x:mergeCell ref="B16:H16"/>
    <x:mergeCell ref="A18:H18"/>
    <x:mergeCell ref="B22:H22"/>
    <x:mergeCell ref="B23:H25"/>
    <x:mergeCell ref="B27:H30"/>
  </x:mergeCells>
  <x:dataValidations count="2">
    <x:dataValidation type="list" sqref="B8:D8">
      <x:formula1>"SIL 1,SIL 2,SIL 3"</x:formula1>
    </x:dataValidation>
    <x:dataValidation type="list" sqref="B22:H22">
      <x:formula1>"Dokument muss überarbeitet werden und kann danach freigegeben werden,Dokument muss überarbeitet werden und danach einem Review unterzogen werden,Dokument kann zum externen Review vorgelegt werden,Dokument kann freigegeben werden"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4" hidden="0" customWidth="1"/>
    <x:col min="3" max="3" width="72" hidden="0" customWidth="1"/>
    <x:col min="4" max="4" width="34" hidden="0" customWidth="1"/>
    <x:col min="5" max="5" width="34" hidden="0" customWidth="1"/>
    <x:col min="6" max="6" width="25" hidden="0" customWidth="1"/>
    <x:col min="7" max="7" width="17" hidden="0" customWidth="1"/>
  </x:cols>
  <x:sheetData>
    <x:row r="1" ht="34" customHeight="1">
      <x:c r="A1" s="6" t="str">
        <x:v>Checkliste – IEC 61508-3, Kapitel 7.2</x:v>
      </x:c>
      <x:c r="B1" s="6" t="str">
        <x:v>Checkliste – IEC 61508-3, Kapitel 7.2</x:v>
      </x:c>
      <x:c r="C1" s="6" t="str">
        <x:v>Checkliste – IEC 61508-3, Kapitel 7.2</x:v>
      </x:c>
      <x:c r="D1" s="6" t="str">
        <x:v>Checkliste – IEC 61508-3, Kapitel 7.2</x:v>
      </x:c>
      <x:c r="E1" s="6" t="str">
        <x:v>Checkliste – IEC 61508-3, Kapitel 7.2</x:v>
      </x:c>
      <x:c r="F1" s="6" t="str">
        <x:v>Checkliste – IEC 61508-3, Kapitel 7.2</x:v>
      </x:c>
      <x:c r="G1" s="6" t="str">
        <x:v>Checkliste – IEC 61508-3, Kapitel 7.2</x:v>
      </x:c>
    </x:row>
    <x:row r="2" ht="34" customHeight="1">
      <x:c r="A2" s="6" t="str">
        <x:v>Checkliste – IEC 61508-3, Kapitel 7.2</x:v>
      </x:c>
      <x:c r="B2" s="6" t="str">
        <x:v>Checkliste – IEC 61508-3, Kapitel 7.2</x:v>
      </x:c>
      <x:c r="C2" s="6" t="str">
        <x:v>Checkliste – IEC 61508-3, Kapitel 7.2</x:v>
      </x:c>
      <x:c r="D2" s="6" t="str">
        <x:v>Checkliste – IEC 61508-3, Kapitel 7.2</x:v>
      </x:c>
      <x:c r="E2" s="6" t="str">
        <x:v>Checkliste – IEC 61508-3, Kapitel 7.2</x:v>
      </x:c>
      <x:c r="F2" s="6" t="str">
        <x:v>Checkliste – IEC 61508-3, Kapitel 7.2</x:v>
      </x:c>
      <x:c r="G2" s="6" t="str">
        <x:v>Checkliste – IEC 61508-3, Kapitel 7.2</x:v>
      </x:c>
    </x:row>
    <x:row r="3">
      <x:c r="A3" s="32" t="str">
        <x:v>Prüfergebnis: konkrete Bewertung des Prüfpunkts. Kommentar / Nachweis: Begründung, Referenz auf Nachweise oder offene Punkte.</x:v>
      </x:c>
      <x:c r="B3" s="32"/>
      <x:c r="C3" s="32"/>
      <x:c r="D3" s="32"/>
      <x:c r="E3" s="32"/>
      <x:c r="F3" s="32"/>
      <x:c r="G3" s="32"/>
    </x:row>
    <x:row r="4">
      <x:c r="A4" s="2"/>
      <x:c r="B4" s="2"/>
      <x:c r="C4" s="2"/>
      <x:c r="D4" s="2"/>
      <x:c r="E4" s="2"/>
      <x:c r="F4" s="2"/>
      <x:c r="G4" s="2"/>
    </x:row>
    <x:row r="5">
      <x:c r="A5" s="34" t="str">
        <x:v>Kapitel 7.2</x:v>
      </x:c>
      <x:c r="B5" s="34" t="str">
        <x:v>Spezifikation der Anforderungen an die Sicherheit der Software</x:v>
      </x:c>
      <x:c r="C5" s="34" t="str">
        <x:v>13 Prüfpunkte</x:v>
      </x:c>
      <x:c r="D5" s="34" t="str"/>
      <x:c r="E5" s="34" t="str"/>
      <x:c r="F5" s="34" t="str">
        <x:v>Dokumentenbezug</x:v>
      </x:c>
      <x:c r="G5" s="34" t="str">
        <x:v>Status / OK</x:v>
      </x:c>
    </x:row>
    <x:row r="6">
      <x:c r="A6" s="2"/>
      <x:c r="B6" s="2"/>
      <x:c r="C6" s="2"/>
      <x:c r="D6" s="2"/>
      <x:c r="E6" s="2"/>
      <x:c r="F6" s="2"/>
      <x:c r="G6" s="2"/>
    </x:row>
    <x:row r="7">
      <x:c r="A7" s="40" t="str">
        <x:v>Nr.</x:v>
      </x:c>
      <x:c r="B7" s="40" t="str">
        <x:v>Normkapitel</x:v>
      </x:c>
      <x:c r="C7" s="40" t="str">
        <x:v>Prüffrage / Prüfkriterium</x:v>
      </x:c>
      <x:c r="D7" s="40" t="str">
        <x:v>Prüfergebnis</x:v>
      </x:c>
      <x:c r="E7" s="40" t="str">
        <x:v>Kommentar / Nachweis</x:v>
      </x:c>
      <x:c r="F7" s="40" t="str">
        <x:v>E/A-Dokumente (IDs)</x:v>
      </x:c>
      <x:c r="G7" s="40" t="str">
        <x:v>Status / OK</x:v>
      </x:c>
    </x:row>
    <x:row r="8" ht="73" customHeight="1">
      <x:c r="A8" s="54" t="str">
        <x:v>1</x:v>
      </x:c>
      <x:c r="B8" s="54" t="str">
        <x:v>7.2.2.1</x:v>
      </x:c>
      <x:c r="C8" s="55" t="str">
        <x:v>Wenn die Anforderungen an die sicherheitsbezogene Software für das sicherheitsbezogene E/E/PE-System bereits beschrieben worden sind (siehe Abschnitt 7 der IEC 61508-2), dann muss die Spezifikation der Software-Sicherheitsanforderungen nicht mehr wiederholt werden.</x:v>
      </x:c>
      <x:c r="D8" s="56" t="str"/>
      <x:c r="E8" s="56" t="str"/>
      <x:c r="F8" s="57" t="str">
        <x:v>D01, D02, D04</x:v>
      </x:c>
      <x:c r="G8" s="58" t="str">
        <x:v>Nicht geprüft</x:v>
      </x:c>
    </x:row>
    <x:row r="9" ht="73" customHeight="1">
      <x:c r="A9" s="54" t="str">
        <x:v>2</x:v>
      </x:c>
      <x:c r="B9" s="54" t="str">
        <x:v>7.2.2.2 (Work Products s. Tabelle 1)</x:v>
      </x:c>
      <x:c r="C9" s="55" t="str">
        <x:v>Die Spezifikation der Anforderungen an die sicherheitsbezogene Software muss sich von den spezifizierten Sicherheitsanforderungen des sicherheitsbezogenen E/E/PE-Systems (siehe IEC 61508-2, Abschnitt 7) und jeder Anforderung der Sicherheitsplanung herleiten</x:v>
      </x:c>
      <x:c r="D9" s="56" t="str"/>
      <x:c r="E9" s="56" t="str"/>
      <x:c r="F9" s="57" t="str">
        <x:v>D01–D04, D15</x:v>
      </x:c>
      <x:c r="G9" s="58" t="str">
        <x:v>Nicht geprüft</x:v>
      </x:c>
    </x:row>
    <x:row r="10" ht="81" customHeight="1">
      <x:c r="A10" s="54" t="str">
        <x:v>3</x:v>
      </x:c>
      <x:c r="B10" s="54" t="str">
        <x:v>7.2.2.3</x:v>
      </x:c>
      <x:c r="C10" s="55" t="str">
        <x:v>Die Spezifikation der Anforderungen an die sicherheitsbezogene Software muss hinreichend genau sein, um einen Entwurf und eine Ausführung zu ermöglichen, die die erforderliche Sicherheitsintegrität erreichen (einschließlich jeder Anforderung zur Unabhängigkeit, siehe 7.4.3 der IEC 61508-2) und um die Beurteilung der funktionalen Sicherheit zu erlauben.</x:v>
      </x:c>
      <x:c r="D10" s="56" t="str"/>
      <x:c r="E10" s="56" t="str"/>
      <x:c r="F10" s="57" t="str">
        <x:v>D04, D11, D16</x:v>
      </x:c>
      <x:c r="G10" s="58" t="str">
        <x:v>Nicht geprüft</x:v>
      </x:c>
    </x:row>
    <x:row r="11" ht="73" customHeight="1">
      <x:c r="A11" s="54" t="str">
        <x:v>4</x:v>
      </x:c>
      <x:c r="B11" s="54" t="str">
        <x:v>7.2.2.4</x:v>
      </x:c>
      <x:c r="C11" s="55" t="str">
        <x:v>Um Unabhängigkeit zu erreichen muss eine angemessene Analyse von Versagen aufgrund gemeinsamer Ursache durchgeführt werden. Wo mögliche Ausfallmechanismen festgestellt werden, müssen wirksame Schutzmaßnahmen getroffen werden.</x:v>
      </x:c>
      <x:c r="D11" s="56" t="str"/>
      <x:c r="E11" s="56" t="str"/>
      <x:c r="F11" s="57" t="str">
        <x:v>D05, D06</x:v>
      </x:c>
      <x:c r="G11" s="58" t="str">
        <x:v>Nicht geprüft</x:v>
      </x:c>
    </x:row>
    <x:row r="12" ht="191" customHeight="1">
      <x:c r="A12" s="54" t="str">
        <x:v>5</x:v>
      </x:c>
      <x:c r="B12" s="54" t="str">
        <x:v>7.2.2.5</x:v>
      </x:c>
      <x:c r="C12" s="55" t="str">
        <x:v>Der Softwareentwickler muss berücksichtigen:
die Sicherheitsfunktionen
die Konfiguration / Architektur des Systems
die Anforderungen an die Sicherheitsintegrität der Hardware (programmierbare Elektronik, Sensoren, Aktoren)
die Anforderungen der systematischen Eignung der Software
die Leistungsfähigkeit und Reaktionszeit
die Einrichtungen und Bedienerschnittstellen, einschließlich der vernünftigerweise vorhersehbaren Fehlanwendung.</x:v>
      </x:c>
      <x:c r="D12" s="56" t="str"/>
      <x:c r="E12" s="56" t="str"/>
      <x:c r="F12" s="57" t="str">
        <x:v>D04, D07–D11</x:v>
      </x:c>
      <x:c r="G12" s="58" t="str">
        <x:v>Nicht geprüft</x:v>
      </x:c>
    </x:row>
    <x:row r="13" ht="81" customHeight="1">
      <x:c r="A13" s="54" t="str">
        <x:v>6</x:v>
      </x:c>
      <x:c r="B13" s="54" t="str">
        <x:v>7.2.2.6</x:v>
      </x:c>
      <x:c r="C13" s="55" t="str">
        <x:v>Falls nicht schon ausreichend in den Sicherheitsanforderungen des sicherheitsbezogenen E/E/PESystems definiert, müssen alle relevanten Betriebsarten der EUC, des E/E/PE-Systems und jedes Betriebsmittels oder Systems, das an das E/E/PE-System angeschlossen wird, in den speziellen Anforderungen der sicherheitsbezogenen Software beschrieben werden.</x:v>
      </x:c>
      <x:c r="D13" s="56" t="str"/>
      <x:c r="E13" s="56" t="str"/>
      <x:c r="F13" s="57" t="str">
        <x:v>D08</x:v>
      </x:c>
      <x:c r="G13" s="58" t="str">
        <x:v>Nicht geprüft</x:v>
      </x:c>
    </x:row>
    <x:row r="14" ht="72" customHeight="1">
      <x:c r="A14" s="54" t="str">
        <x:v>7</x:v>
      </x:c>
      <x:c r="B14" s="54" t="str">
        <x:v>7.2.2.7</x:v>
      </x:c>
      <x:c r="C14" s="55" t="str">
        <x:v>Die Spezifikation der Anforderungen an die Sicherheit der Software muss jede sicherheitsbezogene oder relevante Einschränkung zwischen der Hardware und der Software spezifizieren und beschreiben.</x:v>
      </x:c>
      <x:c r="D14" s="56" t="str"/>
      <x:c r="E14" s="56" t="str"/>
      <x:c r="F14" s="57" t="str">
        <x:v>D07</x:v>
      </x:c>
      <x:c r="G14" s="58" t="str">
        <x:v>Nicht geprüft</x:v>
      </x:c>
    </x:row>
    <x:row r="15" ht="198" customHeight="1">
      <x:c r="A15" s="54" t="str">
        <x:v>8</x:v>
      </x:c>
      <x:c r="B15" s="54" t="str">
        <x:v>7.2.2.8</x:v>
      </x:c>
      <x:c r="C15" s="55" t="str">
        <x:v>In dem Maße, wie es durch den Entwurf der E/E/PE Hardwarearchitektur erforderlich ist, und unter Berücksichtigung einer möglicherweise steigenden Komplexität muss die Spezifikation der Anforderungen an die Sicherheit der Software Folgendes berücksichtigen:
die Selbstüberwachung der Software (für Beispiele siehe IEC 61508-7)
die Überwachung der Hardware der programmierbaren Elektronik, der Sensoren und der Aktoren
die periodischen Tests der Sicherheitsfunktionen des Systems während des Betriebs
die Testbarkeit der Sicherheitsfunktionen während des Betriebs der EUC
die Softwarefunktionen zur Durchführung von Wiederholungsprüfungen und aller Diagnosetests, um die Anforderungen an die Sicherheitsintegrität des sicherheitsbezogenen E/E/PE-Systems zu erfüllen</x:v>
      </x:c>
      <x:c r="D15" s="56" t="str"/>
      <x:c r="E15" s="56" t="str"/>
      <x:c r="F15" s="57" t="str">
        <x:v>D10</x:v>
      </x:c>
      <x:c r="G15" s="58" t="str">
        <x:v>Nicht geprüft</x:v>
      </x:c>
    </x:row>
    <x:row r="16" ht="73" customHeight="1">
      <x:c r="A16" s="54" t="str">
        <x:v>9</x:v>
      </x:c>
      <x:c r="B16" s="54" t="str">
        <x:v>7.2.2.9</x:v>
      </x:c>
      <x:c r="C16" s="55" t="str">
        <x:v>Wenn das sicherheitsbezogene E/E/PE-System Nicht-Sicherheitsfunktion auszuführen hat, müssen die spezifizierten Anforderungen an die sicherheitsbezogene Software diese Nicht-Sicherheitsfunktion eindeutig herausstellen</x:v>
      </x:c>
      <x:c r="D16" s="56" t="str"/>
      <x:c r="E16" s="56" t="str"/>
      <x:c r="F16" s="57" t="str">
        <x:v>D09</x:v>
      </x:c>
      <x:c r="G16" s="58" t="str">
        <x:v>Nicht geprüft</x:v>
      </x:c>
    </x:row>
    <x:row r="17" ht="240" customHeight="1">
      <x:c r="A17" s="54" t="str">
        <x:v>10</x:v>
      </x:c>
      <x:c r="B17" s="54" t="str">
        <x:v>7.2.2.10</x:v>
      </x:c>
      <x:c r="C17" s="55" t="str">
        <x:v>Die Spezifikation der Anforderungen an die Sicherheit der Software muss die geforderten sicherheitstechnischen Eigenschaften des Produktes beschreiben, nicht aber die des Projektes. Dies wird durch die Sicherheitsplanung abgedeckt (siehe Abschnitt 6 der 61508-1). Mit Bezug zu 7.2.2.1 bis 7.2.2.9 muss Folgendes angemessen beschrieben werden:
a) Die Anforderungen an die folgenden Funktionen der Softwaresicherheit:
1) Funktionen, die es der EUC ermöglichen, einen sicheren Zustand zu erreichen oder aufrechtzuerhalten
2) Funktionen zur Erkennung, Anzeige und Behandlung von Fehlern in der Hardware der programmierbaren Elektronik;
3) Funktionen zur Erkennung, Anzeige und Behandlung von Fehlern der Sensoren und Aktoren;
4) Funktionen zur Erkennung, Anzeige und Behandlung von Fehlern in der Software selbst (Selbstüberwachung der Software);
5) Funktionen bezüglich der periodischen Online-Tests der Sicherheitsfunktionen (z. B. in der vorgesehenen betrieblichen Umgebung);
6) Funktionen bezüglich der periodischen Offline-Tests der Sicherheitsfunktionen (z. B. in einer Umgebung, wo man den Sicherheitsfunktionen der EUC nicht vertrauen kann);
7) Funktionen, die erlauben, Modifikationen am PE-System sicher durchzuführen;
8) Schnittstellen zu nicht sicherheitsbezogenen Funktionen;
9) Leistungsfähigkeit und Reaktionszeit;
10) Schnittstellen zwischen der Software und dem PE-System;
11) Sicherheitsbezogene Kommunikation (siehe IEC 61508-2, 7.4.11);
b) die Anforderungen an die systematische Eignung der Software:
1) die Sicherheits-Integritätslevel für jede der Funktionen unter
a) oben;
2) Anforderungen an die Unabhängigkeit zwischen Funktionen.</x:v>
      </x:c>
      <x:c r="D17" s="56" t="str"/>
      <x:c r="E17" s="56" t="str"/>
      <x:c r="F17" s="57" t="str">
        <x:v>D01, D02, D04</x:v>
      </x:c>
      <x:c r="G17" s="58" t="str">
        <x:v>Nicht geprüft</x:v>
      </x:c>
    </x:row>
    <x:row r="18" ht="140" customHeight="1">
      <x:c r="A18" s="54" t="str">
        <x:v>11</x:v>
      </x:c>
      <x:c r="B18" s="54" t="str">
        <x:v>7.2.2.11</x:v>
      </x:c>
      <x:c r="C18" s="55" t="str">
        <x:v>Wenn Software-Sicherheitsanforderungen durch Konfigurationsdaten beschrieben oder implementiert werden, müssen die Daten:
konsistent zu den Sicherheitsanforderungen des Systems sein;
ausgedrückt werden mit Ausdrücken des erlaubten Bereichs und autorisierten Kombinationen seiner Betriebsparameter;
definiert werden in einer Weise, die kompatibel ist mit der zugrunde liegenden Software (z. B. Reihenfolge der Ausführung, Laufzeit, Datenstrukturen usw.)</x:v>
      </x:c>
      <x:c r="D18" s="56" t="str"/>
      <x:c r="E18" s="56" t="str"/>
      <x:c r="F18" s="57" t="str">
        <x:v>D01, D02, D04</x:v>
      </x:c>
      <x:c r="G18" s="58" t="str">
        <x:v>Nicht geprüft</x:v>
      </x:c>
    </x:row>
    <x:row r="19" ht="182" customHeight="1">
      <x:c r="A19" s="54" t="str">
        <x:v>12</x:v>
      </x:c>
      <x:c r="B19" s="54" t="str">
        <x:v>7.2.2.12</x:v>
      </x:c>
      <x:c r="C19" s="55" t="str">
        <x:v>Wo Daten die Schnittstelle zwischen Software und externen Systemen bestimmen, müssen folgende Leistungsmerkmale, zusätzlich zu IEC 61508-2, 7.4.11, betrachtet werden:
die Notwendigkeit zur begrifflichen Konsistenz in der Definition der Daten;
ungültige oder außerhalb des zulässigen Bereichs liegende Werte oder solche zur falschen Zeit;
die Reaktionszeit und der Durchsatz, einschließlich der Maximalbelastung;
die Ausführungszeit im ungünstigsten/günstigsten Fall und Verklemmungen;
ein Überlauf und Unterschreiten der Kapazität des Datenspeichers.</x:v>
      </x:c>
      <x:c r="D19" s="56" t="str"/>
      <x:c r="E19" s="56" t="str"/>
      <x:c r="F19" s="57" t="str">
        <x:v>D01, D02, D04</x:v>
      </x:c>
      <x:c r="G19" s="58" t="str">
        <x:v>Nicht geprüft</x:v>
      </x:c>
    </x:row>
    <x:row r="20" ht="116" customHeight="1">
      <x:c r="A20" s="54" t="str">
        <x:v>13</x:v>
      </x:c>
      <x:c r="B20" s="54" t="str">
        <x:v>7.2.2.13</x:v>
      </x:c>
      <x:c r="C20" s="55" t="str">
        <x:v>Betriebsparameter müssen geschützt werden gegen:
a) ungültige oder außerhalb des zulässigen Bereichs liegende Werte oder solche zur falschen Zeit;
b) unbefugte Änderungen;
c) Verfälschung.</x:v>
      </x:c>
      <x:c r="D20" s="56" t="str"/>
      <x:c r="E20" s="56" t="str"/>
      <x:c r="F20" s="57" t="str">
        <x:v>D01, D02, D04</x:v>
      </x:c>
      <x:c r="G20" s="58" t="str">
        <x:v>Nicht geprüft</x:v>
      </x:c>
    </x:row>
    <x:row r="21" ht="182" customHeight="1">
      <x:c r="A21" s="43"/>
      <x:c r="B21" s="43"/>
      <x:c r="C21" s="41"/>
      <x:c r="D21" s="19"/>
      <x:c r="E21" s="19"/>
      <x:c r="F21" s="42"/>
      <x:c r="G21" s="44"/>
    </x:row>
    <x:row r="22" ht="72" customHeight="1">
      <x:c r="A22" s="43"/>
      <x:c r="B22" s="43"/>
      <x:c r="C22" s="41"/>
      <x:c r="D22" s="19"/>
      <x:c r="E22" s="19"/>
      <x:c r="F22" s="42"/>
      <x:c r="G22" s="44"/>
    </x:row>
    <x:row r="23">
      <x:c r="A23" s="2"/>
      <x:c r="B23" s="2"/>
      <x:c r="C23" s="2"/>
      <x:c r="D23" s="2"/>
      <x:c r="E23" s="2"/>
      <x:c r="F23" s="2"/>
      <x:c r="G23" s="2"/>
    </x:row>
    <x:row r="24">
      <x:c r="A24" s="2"/>
      <x:c r="B24" s="2"/>
      <x:c r="C24" s="2"/>
      <x:c r="D24" s="2"/>
      <x:c r="E24" s="2"/>
      <x:c r="F24" s="2"/>
      <x:c r="G24" s="2"/>
    </x:row>
    <x:row r="25">
      <x:c r="A25" s="2"/>
      <x:c r="B25" s="2"/>
      <x:c r="C25" s="2"/>
      <x:c r="D25" s="2"/>
      <x:c r="E25" s="2"/>
      <x:c r="F25" s="2"/>
      <x:c r="G25" s="2"/>
    </x:row>
  </x:sheetData>
  <x:mergeCells>
    <x:mergeCell ref="A1:G2"/>
    <x:mergeCell ref="A3:G3"/>
  </x:mergeCells>
  <x:conditionalFormatting sqref="G8:G22">
    <x:cfRule type="expression" dxfId="0" priority="1">
      <x:formula>G8="OK"</x:formula>
    </x:cfRule>
    <x:cfRule type="expression" dxfId="1" priority="2">
      <x:formula>G8="Nicht OK"</x:formula>
    </x:cfRule>
    <x:cfRule type="expression" dxfId="2" priority="3">
      <x:formula>G8="Nicht geprüft"</x:formula>
    </x:cfRule>
    <x:cfRule type="expression" dxfId="3" priority="4">
      <x:formula>G8="n. a."</x:formula>
    </x:cfRule>
  </x:conditionalFormatting>
  <x:conditionalFormatting sqref="G8:G20">
    <x:cfRule type="expression" dxfId="12" priority="5">
      <x:formula>G8="OK"</x:formula>
    </x:cfRule>
    <x:cfRule type="expression" dxfId="13" priority="6">
      <x:formula>G8="Nicht OK"</x:formula>
    </x:cfRule>
    <x:cfRule type="expression" dxfId="14" priority="7">
      <x:formula>G8="Nicht geprüft"</x:formula>
    </x:cfRule>
    <x:cfRule type="expression" dxfId="15" priority="8">
      <x:formula>G8="n. a."</x:formula>
    </x:cfRule>
  </x:conditionalFormatting>
  <x:dataValidations count="2">
    <x:dataValidation type="list" sqref="G8:G22">
      <x:formula1>"Nicht geprüft,OK,Nicht OK,n. a."</x:formula1>
    </x:dataValidation>
    <x:dataValidation type="list" sqref="G8:G20">
      <x:formula1>"Nicht geprüft,OK,Nicht OK,n. a."</x:formula1>
    </x:dataValidation>
  </x:dataValidations>
  <x:pageMargins left="0.7" right="0.7" top="0.75" bottom="0.75" header="0.3" footer="0.3"/>
  <x:tableParts count="1">
    <x:tablePart xmlns:r="http://schemas.openxmlformats.org/officeDocument/2006/relationships" r:id="Rac9fe365d529442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18" hidden="0" customWidth="1"/>
    <x:col min="3" max="3" width="42" hidden="0" customWidth="1"/>
    <x:col min="4" max="4" width="52" hidden="0" customWidth="1"/>
    <x:col min="5" max="5" width="18" hidden="0" customWidth="1"/>
    <x:col min="6" max="6" width="46" hidden="0" customWidth="1"/>
    <x:col min="7" max="7" width="28" hidden="0" customWidth="1"/>
    <x:col min="8" max="8" width="14" hidden="0" customWidth="1"/>
    <x:col min="9" max="9" width="19" hidden="0" customWidth="1"/>
    <x:col min="10" max="10" width="22" hidden="0" customWidth="1"/>
    <x:col min="11" max="11" width="34" hidden="0" customWidth="1"/>
  </x:cols>
  <x:sheetData>
    <x:row r="1" ht="34" customHeight="1">
      <x:c r="A1" s="6" t="str">
        <x:v>Eingabe- und Ausgabedokumente – Kapitel 7.2</x:v>
      </x:c>
      <x:c r="B1" s="6" t="str">
        <x:v>Eingabe- und Ausgabedokumente – Kapitel 7.2</x:v>
      </x:c>
      <x:c r="C1" s="6" t="str">
        <x:v>Eingabe- und Ausgabedokumente – Kapitel 7.2</x:v>
      </x:c>
      <x:c r="D1" s="6" t="str">
        <x:v>Eingabe- und Ausgabedokumente – Kapitel 7.2</x:v>
      </x:c>
      <x:c r="E1" s="6" t="str">
        <x:v>Eingabe- und Ausgabedokumente – Kapitel 7.2</x:v>
      </x:c>
      <x:c r="F1" s="6" t="str">
        <x:v>Eingabe- und Ausgabedokumente – Kapitel 7.2</x:v>
      </x:c>
      <x:c r="G1" s="6" t="str">
        <x:v>Eingabe- und Ausgabedokumente – Kapitel 7.2</x:v>
      </x:c>
      <x:c r="H1" s="6" t="str">
        <x:v>Eingabe- und Ausgabedokumente – Kapitel 7.2</x:v>
      </x:c>
      <x:c r="I1" s="6" t="str">
        <x:v>Eingabe- und Ausgabedokumente – Kapitel 7.2</x:v>
      </x:c>
      <x:c r="J1" s="6" t="str">
        <x:v>Eingabe- und Ausgabedokumente – Kapitel 7.2</x:v>
      </x:c>
      <x:c r="K1" s="6" t="str">
        <x:v>Eingabe- und Ausgabedokumente – Kapitel 7.2</x:v>
      </x:c>
    </x:row>
    <x:row r="2" ht="34" customHeight="1">
      <x:c r="A2" s="6" t="str">
        <x:v>Eingabe- und Ausgabedokumente – Kapitel 7.2</x:v>
      </x:c>
      <x:c r="B2" s="6" t="str">
        <x:v>Eingabe- und Ausgabedokumente – Kapitel 7.2</x:v>
      </x:c>
      <x:c r="C2" s="6" t="str">
        <x:v>Eingabe- und Ausgabedokumente – Kapitel 7.2</x:v>
      </x:c>
      <x:c r="D2" s="6" t="str">
        <x:v>Eingabe- und Ausgabedokumente – Kapitel 7.2</x:v>
      </x:c>
      <x:c r="E2" s="6" t="str">
        <x:v>Eingabe- und Ausgabedokumente – Kapitel 7.2</x:v>
      </x:c>
      <x:c r="F2" s="6" t="str">
        <x:v>Eingabe- und Ausgabedokumente – Kapitel 7.2</x:v>
      </x:c>
      <x:c r="G2" s="6" t="str">
        <x:v>Eingabe- und Ausgabedokumente – Kapitel 7.2</x:v>
      </x:c>
      <x:c r="H2" s="6" t="str">
        <x:v>Eingabe- und Ausgabedokumente – Kapitel 7.2</x:v>
      </x:c>
      <x:c r="I2" s="6" t="str">
        <x:v>Eingabe- und Ausgabedokumente – Kapitel 7.2</x:v>
      </x:c>
      <x:c r="J2" s="6" t="str">
        <x:v>Eingabe- und Ausgabedokumente – Kapitel 7.2</x:v>
      </x:c>
      <x:c r="K2" s="6" t="str">
        <x:v>Eingabe- und Ausgabedokumente – Kapitel 7.2</x:v>
      </x:c>
    </x:row>
    <x:row r="3">
      <x:c r="A3" s="32" t="str">
        <x:v>Normnahes Dokumentenregister mit Bezug zu Prüfpunkt und Normkapitel. Gelbe Zellen werden projektspezifisch ausgefüllt.</x:v>
      </x:c>
      <x:c r="B3" s="32" t="str">
        <x:v>Normnahes Dokumentenregister mit Bezug zu Prüfpunkt und Normkapitel. Gelbe Zellen werden projektspezifisch ausgefüllt.</x:v>
      </x:c>
      <x:c r="C3" s="32" t="str">
        <x:v>Normnahes Dokumentenregister mit Bezug zu Prüfpunkt und Normkapitel. Gelbe Zellen werden projektspezifisch ausgefüllt.</x:v>
      </x:c>
      <x:c r="D3" s="32" t="str">
        <x:v>Normnahes Dokumentenregister mit Bezug zu Prüfpunkt und Normkapitel. Gelbe Zellen werden projektspezifisch ausgefüllt.</x:v>
      </x:c>
      <x:c r="E3" s="32" t="str">
        <x:v>Normnahes Dokumentenregister mit Bezug zu Prüfpunkt und Normkapitel. Gelbe Zellen werden projektspezifisch ausgefüllt.</x:v>
      </x:c>
      <x:c r="F3" s="32" t="str">
        <x:v>Normnahes Dokumentenregister mit Bezug zu Prüfpunkt und Normkapitel. Gelbe Zellen werden projektspezifisch ausgefüllt.</x:v>
      </x:c>
      <x:c r="G3" s="32" t="str">
        <x:v>Normnahes Dokumentenregister mit Bezug zu Prüfpunkt und Normkapitel. Gelbe Zellen werden projektspezifisch ausgefüllt.</x:v>
      </x:c>
      <x:c r="H3" s="32" t="str">
        <x:v>Normnahes Dokumentenregister mit Bezug zu Prüfpunkt und Normkapitel. Gelbe Zellen werden projektspezifisch ausgefüllt.</x:v>
      </x:c>
      <x:c r="I3" s="32" t="str">
        <x:v>Normnahes Dokumentenregister mit Bezug zu Prüfpunkt und Normkapitel. Gelbe Zellen werden projektspezifisch ausgefüllt.</x:v>
      </x:c>
      <x:c r="J3" s="32" t="str">
        <x:v>Normnahes Dokumentenregister mit Bezug zu Prüfpunkt und Normkapitel. Gelbe Zellen werden projektspezifisch ausgefüllt.</x:v>
      </x:c>
      <x:c r="K3" s="32" t="str">
        <x:v>Normnahes Dokumentenregister mit Bezug zu Prüfpunkt und Normkapitel. Gelbe Zellen werden projektspezifisch ausgefüllt.</x:v>
      </x:c>
    </x:row>
    <x:row r="4">
      <x:c r="A4" s="2"/>
      <x:c r="B4" s="2"/>
      <x:c r="C4" s="2"/>
      <x:c r="D4" s="2"/>
      <x:c r="E4" s="2"/>
      <x:c r="F4" s="2"/>
      <x:c r="G4" s="2"/>
      <x:c r="H4" s="2"/>
      <x:c r="I4" s="2"/>
      <x:c r="J4" s="2"/>
      <x:c r="K4" s="2"/>
    </x:row>
    <x:row r="5">
      <x:c r="A5" s="48" t="str">
        <x:v>Dokumente</x:v>
      </x:c>
      <x:c r="B5" s="48" t="n">
        <x:v>16</x:v>
      </x:c>
      <x:c r="C5" s="48" t="str">
        <x:v>Eingaben</x:v>
      </x:c>
      <x:c r="D5" s="48" t="n">
        <x:f>COUNTIF(B8:B23,"Eingabe")+COUNTIF(B8:B23,"Eingabe / Ausgabe")</x:f>
        <x:v>3</x:v>
      </x:c>
      <x:c r="E5" s="48" t="str">
        <x:v>Ausgaben</x:v>
      </x:c>
      <x:c r="F5" s="48" t="n">
        <x:f>COUNTIF(B8:B23,"Ausgabe")+COUNTIF(B8:B23,"Eingabe / Ausgabe")</x:f>
        <x:v>13</x:v>
      </x:c>
      <x:c r="G5" s="48" t="str">
        <x:v>Geprüft / freigegeben</x:v>
      </x:c>
      <x:c r="H5" s="48" t="n">
        <x:f>COUNTIF(I8:I23,"Geprüft")+COUNTIF(I8:I23,"Freigegeben")</x:f>
        <x:v>0</x:v>
      </x:c>
      <x:c r="I5" s="48" t="str">
        <x:v>Nicht vorgelegt</x:v>
      </x:c>
      <x:c r="J5" s="48" t="n">
        <x:f>COUNTIF(I8:I23,"Nicht vorgelegt")</x:f>
        <x:v>16</x:v>
      </x:c>
      <x:c r="K5" s="48" t="str"/>
    </x:row>
    <x:row r="6">
      <x:c r="A6" s="2"/>
      <x:c r="B6" s="2"/>
      <x:c r="C6" s="2"/>
      <x:c r="D6" s="2"/>
      <x:c r="E6" s="2"/>
      <x:c r="F6" s="2"/>
      <x:c r="G6" s="2"/>
      <x:c r="H6" s="2"/>
      <x:c r="I6" s="2"/>
      <x:c r="J6" s="2"/>
      <x:c r="K6" s="2"/>
    </x:row>
    <x:row r="7">
      <x:c r="A7" s="40" t="str">
        <x:v>ID</x:v>
      </x:c>
      <x:c r="B7" s="40" t="str">
        <x:v>Art</x:v>
      </x:c>
      <x:c r="C7" s="40" t="str">
        <x:v>Normbegriff / Dokument</x:v>
      </x:c>
      <x:c r="D7" s="40" t="str">
        <x:v>Funktion / erwarteter Inhalt</x:v>
      </x:c>
      <x:c r="E7" s="40" t="str">
        <x:v>Bezug Prüfpunkt</x:v>
      </x:c>
      <x:c r="F7" s="40" t="str">
        <x:v>Normreferenz</x:v>
      </x:c>
      <x:c r="G7" s="40" t="str">
        <x:v>Dokumentkennung / Referenz</x:v>
      </x:c>
      <x:c r="H7" s="40" t="str">
        <x:v>Version / Index</x:v>
      </x:c>
      <x:c r="I7" s="40" t="str">
        <x:v>Status</x:v>
      </x:c>
      <x:c r="J7" s="40" t="str">
        <x:v>Verantwortlich</x:v>
      </x:c>
      <x:c r="K7" s="40" t="str">
        <x:v>Ablageort / Link</x:v>
      </x:c>
    </x:row>
    <x:row r="8" ht="60" customHeight="1">
      <x:c r="A8" s="54" t="str">
        <x:v>D01</x:v>
      </x:c>
      <x:c r="B8" s="54" t="str">
        <x:v>Eingabe</x:v>
      </x:c>
      <x:c r="C8" s="55" t="str">
        <x:v>Spezifikation der E/E/PE-Sicherheitsanforderungen aus der Zuordnung</x:v>
      </x:c>
      <x:c r="D8" s="55" t="str">
        <x:v>Übergeordnete Sicherheitsanforderungen als Ausgangspunkt der Softwareanforderungen.</x:v>
      </x:c>
      <x:c r="E8" s="54" t="str">
        <x:v>1, 2</x:v>
      </x:c>
      <x:c r="F8" s="55" t="str">
        <x:v>IEC 61508-3, 7.2.2.1 und 7.2.2.2; IEC 61508-1</x:v>
      </x:c>
      <x:c r="G8" s="56" t="str"/>
      <x:c r="H8" s="58" t="str"/>
      <x:c r="I8" s="58" t="str">
        <x:v>Nicht vorgelegt</x:v>
      </x:c>
      <x:c r="J8" s="56" t="str"/>
      <x:c r="K8" s="56" t="str"/>
    </x:row>
    <x:row r="9" ht="60" customHeight="1">
      <x:c r="A9" s="54" t="str">
        <x:v>D02</x:v>
      </x:c>
      <x:c r="B9" s="54" t="str">
        <x:v>Eingabe</x:v>
      </x:c>
      <x:c r="C9" s="55" t="str">
        <x:v>Spezifikation der Anforderungen an die Sicherheit des E/E/PE-Systems</x:v>
      </x:c>
      <x:c r="D9" s="55" t="str">
        <x:v>Systembezogene Sicherheitsanforderungen einschließlich Architektur, Hardware und Schnittstellen.</x:v>
      </x:c>
      <x:c r="E9" s="54" t="str">
        <x:v>1–8</x:v>
      </x:c>
      <x:c r="F9" s="55" t="str">
        <x:v>IEC 61508-3, 7.2.2; IEC 61508-2, Abschnitt 7</x:v>
      </x:c>
      <x:c r="G9" s="56" t="str"/>
      <x:c r="H9" s="58" t="str"/>
      <x:c r="I9" s="58" t="str">
        <x:v>Nicht vorgelegt</x:v>
      </x:c>
      <x:c r="J9" s="56" t="str"/>
      <x:c r="K9" s="56" t="str"/>
    </x:row>
    <x:row r="10" ht="60" customHeight="1">
      <x:c r="A10" s="54" t="str">
        <x:v>D03</x:v>
      </x:c>
      <x:c r="B10" s="54" t="str">
        <x:v>Eingabe</x:v>
      </x:c>
      <x:c r="C10" s="55" t="str">
        <x:v>Anforderungen der Sicherheitsplanung</x:v>
      </x:c>
      <x:c r="D10" s="55" t="str">
        <x:v>Projektbezogene Planungsanforderungen, Rollen, Unabhängigkeit und Nachweistätigkeiten.</x:v>
      </x:c>
      <x:c r="E10" s="54" t="str">
        <x:v>2</x:v>
      </x:c>
      <x:c r="F10" s="55" t="str">
        <x:v>IEC 61508-3, 7.2.2.2; IEC 61508-1, Abschnitt 6</x:v>
      </x:c>
      <x:c r="G10" s="56" t="str"/>
      <x:c r="H10" s="58" t="str"/>
      <x:c r="I10" s="58" t="str">
        <x:v>Nicht vorgelegt</x:v>
      </x:c>
      <x:c r="J10" s="56" t="str"/>
      <x:c r="K10" s="56" t="str"/>
    </x:row>
    <x:row r="11" ht="60" customHeight="1">
      <x:c r="A11" s="54" t="str">
        <x:v>D04</x:v>
      </x:c>
      <x:c r="B11" s="54" t="str">
        <x:v>Ausgabe</x:v>
      </x:c>
      <x:c r="C11" s="55" t="str">
        <x:v>Spezifikation der Anforderungen an die Sicherheit der Software (SSRS)</x:v>
      </x:c>
      <x:c r="D11" s="55" t="str">
        <x:v>Vollständige, präzise und verifizierbare Beschreibung der Sicherheitsfunktionen und systematischen Eignung.</x:v>
      </x:c>
      <x:c r="E11" s="54" t="str">
        <x:v>1–13</x:v>
      </x:c>
      <x:c r="F11" s="55" t="str">
        <x:v>IEC 61508-3, 7.2.2</x:v>
      </x:c>
      <x:c r="G11" s="56" t="str"/>
      <x:c r="H11" s="58" t="str"/>
      <x:c r="I11" s="58" t="str">
        <x:v>Nicht vorgelegt</x:v>
      </x:c>
      <x:c r="J11" s="56" t="str"/>
      <x:c r="K11" s="56" t="str"/>
    </x:row>
    <x:row r="12" ht="60" customHeight="1">
      <x:c r="A12" s="54" t="str">
        <x:v>D05</x:v>
      </x:c>
      <x:c r="B12" s="54" t="str">
        <x:v>Ausgabe</x:v>
      </x:c>
      <x:c r="C12" s="55" t="str">
        <x:v>Analyse von Versagen aufgrund gemeinsamer Ursache</x:v>
      </x:c>
      <x:c r="D12" s="55" t="str">
        <x:v>Untersucht mögliche gemeinsame Ausfallmechanismen und Abhängigkeiten.</x:v>
      </x:c>
      <x:c r="E12" s="54" t="str">
        <x:v>4</x:v>
      </x:c>
      <x:c r="F12" s="55" t="str">
        <x:v>IEC 61508-3, 7.2.2.4</x:v>
      </x:c>
      <x:c r="G12" s="56" t="str"/>
      <x:c r="H12" s="58" t="str"/>
      <x:c r="I12" s="58" t="str">
        <x:v>Nicht vorgelegt</x:v>
      </x:c>
      <x:c r="J12" s="56" t="str"/>
      <x:c r="K12" s="56" t="str"/>
    </x:row>
    <x:row r="13" ht="60" customHeight="1">
      <x:c r="A13" s="54" t="str">
        <x:v>D06</x:v>
      </x:c>
      <x:c r="B13" s="54" t="str">
        <x:v>Ausgabe</x:v>
      </x:c>
      <x:c r="C13" s="55" t="str">
        <x:v>Schutzmaßnahmen zur Sicherstellung der Unabhängigkeit</x:v>
      </x:c>
      <x:c r="D13" s="55" t="str">
        <x:v>Beherrscht identifizierte gemeinsame Ausfallmechanismen zwischen Funktionen oder Komponenten.</x:v>
      </x:c>
      <x:c r="E13" s="54" t="str">
        <x:v>4, 10</x:v>
      </x:c>
      <x:c r="F13" s="55" t="str">
        <x:v>IEC 61508-3, 7.2.2.4 und 7.2.2.10</x:v>
      </x:c>
      <x:c r="G13" s="56" t="str"/>
      <x:c r="H13" s="58" t="str"/>
      <x:c r="I13" s="58" t="str">
        <x:v>Nicht vorgelegt</x:v>
      </x:c>
      <x:c r="J13" s="56" t="str"/>
      <x:c r="K13" s="56" t="str"/>
    </x:row>
    <x:row r="14" ht="60" customHeight="1">
      <x:c r="A14" s="54" t="str">
        <x:v>D07</x:v>
      </x:c>
      <x:c r="B14" s="54" t="str">
        <x:v>Ausgabe</x:v>
      </x:c>
      <x:c r="C14" s="55" t="str">
        <x:v>Spezifikation der Hardware-Software-Schnittstelle</x:v>
      </x:c>
      <x:c r="D14" s="55" t="str">
        <x:v>Beschreibt zeitliche, funktionale, elektrische, Speicher- und Datenabhängigkeiten zwischen Hardware und Software.</x:v>
      </x:c>
      <x:c r="E14" s="54" t="str">
        <x:v>5, 7, 10</x:v>
      </x:c>
      <x:c r="F14" s="55" t="str">
        <x:v>IEC 61508-3, 7.2.2.5, 7.2.2.7 und 7.2.2.10</x:v>
      </x:c>
      <x:c r="G14" s="56" t="str"/>
      <x:c r="H14" s="58" t="str"/>
      <x:c r="I14" s="58" t="str">
        <x:v>Nicht vorgelegt</x:v>
      </x:c>
      <x:c r="J14" s="56" t="str"/>
      <x:c r="K14" s="56" t="str"/>
    </x:row>
    <x:row r="15" ht="60" customHeight="1">
      <x:c r="A15" s="54" t="str">
        <x:v>D08</x:v>
      </x:c>
      <x:c r="B15" s="54" t="str">
        <x:v>Ausgabe</x:v>
      </x:c>
      <x:c r="C15" s="55" t="str">
        <x:v>Spezifikation der Betriebsarten und anormalen Zustände</x:v>
      </x:c>
      <x:c r="D15" s="55" t="str">
        <x:v>Erfasst Normalbetrieb, Start, Wartung, Test, Fehlerbetrieb, Abschaltung und Wiederanlauf.</x:v>
      </x:c>
      <x:c r="E15" s="54" t="str">
        <x:v>6, 10</x:v>
      </x:c>
      <x:c r="F15" s="55" t="str">
        <x:v>IEC 61508-3, 7.2.2.6 und 7.2.2.10</x:v>
      </x:c>
      <x:c r="G15" s="56" t="str"/>
      <x:c r="H15" s="58" t="str"/>
      <x:c r="I15" s="58" t="str">
        <x:v>Nicht vorgelegt</x:v>
      </x:c>
      <x:c r="J15" s="56" t="str"/>
      <x:c r="K15" s="56" t="str"/>
    </x:row>
    <x:row r="16" ht="60" customHeight="1">
      <x:c r="A16" s="54" t="str">
        <x:v>D09</x:v>
      </x:c>
      <x:c r="B16" s="54" t="str">
        <x:v>Ausgabe</x:v>
      </x:c>
      <x:c r="C16" s="55" t="str">
        <x:v>Kennzeichnung von Sicherheits- und Nicht-Sicherheitsfunktionen</x:v>
      </x:c>
      <x:c r="D16" s="55" t="str">
        <x:v>Grenzt sicherheitsbezogene Funktionen eindeutig von Nicht-Sicherheitsfunktionen ab.</x:v>
      </x:c>
      <x:c r="E16" s="54" t="str">
        <x:v>9, 10</x:v>
      </x:c>
      <x:c r="F16" s="55" t="str">
        <x:v>IEC 61508-3, 7.2.2.9 und 7.2.2.10</x:v>
      </x:c>
      <x:c r="G16" s="56" t="str"/>
      <x:c r="H16" s="58" t="str"/>
      <x:c r="I16" s="58" t="str">
        <x:v>Nicht vorgelegt</x:v>
      </x:c>
      <x:c r="J16" s="56" t="str"/>
      <x:c r="K16" s="56" t="str"/>
    </x:row>
    <x:row r="17" ht="60" customHeight="1">
      <x:c r="A17" s="54" t="str">
        <x:v>D10</x:v>
      </x:c>
      <x:c r="B17" s="54" t="str">
        <x:v>Ausgabe</x:v>
      </x:c>
      <x:c r="C17" s="55" t="str">
        <x:v>Anforderungen an die Funktionen der Softwaresicherheit</x:v>
      </x:c>
      <x:c r="D17" s="55" t="str">
        <x:v>Beschreibt sicheren Zustand, Diagnose, Tests, Kommunikation, Schnittstellen, Leistung und Reaktionszeit.</x:v>
      </x:c>
      <x:c r="E17" s="54" t="str">
        <x:v>5, 8, 10</x:v>
      </x:c>
      <x:c r="F17" s="55" t="str">
        <x:v>IEC 61508-3, 7.2.2.5, 7.2.2.8 und 7.2.2.10 a)</x:v>
      </x:c>
      <x:c r="G17" s="56" t="str"/>
      <x:c r="H17" s="58" t="str"/>
      <x:c r="I17" s="58" t="str">
        <x:v>Nicht vorgelegt</x:v>
      </x:c>
      <x:c r="J17" s="56" t="str"/>
      <x:c r="K17" s="56" t="str"/>
    </x:row>
    <x:row r="18" ht="60" customHeight="1">
      <x:c r="A18" s="54" t="str">
        <x:v>D11</x:v>
      </x:c>
      <x:c r="B18" s="54" t="str">
        <x:v>Ausgabe</x:v>
      </x:c>
      <x:c r="C18" s="55" t="str">
        <x:v>Anforderungen an die systematische Eignung und Unabhängigkeit</x:v>
      </x:c>
      <x:c r="D18" s="55" t="str">
        <x:v>Ordnet SIL und erforderliche Unabhängigkeit den Software-Sicherheitsfunktionen zu.</x:v>
      </x:c>
      <x:c r="E18" s="54" t="str">
        <x:v>3, 10</x:v>
      </x:c>
      <x:c r="F18" s="55" t="str">
        <x:v>IEC 61508-3, 7.2.2.3 und 7.2.2.10 b)</x:v>
      </x:c>
      <x:c r="G18" s="56" t="str"/>
      <x:c r="H18" s="58" t="str"/>
      <x:c r="I18" s="58" t="str">
        <x:v>Nicht vorgelegt</x:v>
      </x:c>
      <x:c r="J18" s="56" t="str"/>
      <x:c r="K18" s="56" t="str"/>
    </x:row>
    <x:row r="19" ht="60" customHeight="1">
      <x:c r="A19" s="54" t="str">
        <x:v>D12</x:v>
      </x:c>
      <x:c r="B19" s="54" t="str">
        <x:v>Ausgabe</x:v>
      </x:c>
      <x:c r="C19" s="55" t="str">
        <x:v>Spezifikation der Konfigurationsdaten und erlaubten Betriebsparameter</x:v>
      </x:c>
      <x:c r="D19" s="55" t="str">
        <x:v>Definiert zulässige Wertebereiche, Kombinationen, Datenstrukturen und Ausführungsbedingungen.</x:v>
      </x:c>
      <x:c r="E19" s="54" t="str">
        <x:v>11, 13</x:v>
      </x:c>
      <x:c r="F19" s="55" t="str">
        <x:v>IEC 61508-3, 7.2.2.11 und 7.2.2.13</x:v>
      </x:c>
      <x:c r="G19" s="56" t="str"/>
      <x:c r="H19" s="58" t="str"/>
      <x:c r="I19" s="58" t="str">
        <x:v>Nicht vorgelegt</x:v>
      </x:c>
      <x:c r="J19" s="56" t="str"/>
      <x:c r="K19" s="56" t="str"/>
    </x:row>
    <x:row r="20" ht="60" customHeight="1">
      <x:c r="A20" s="54" t="str">
        <x:v>D13</x:v>
      </x:c>
      <x:c r="B20" s="54" t="str">
        <x:v>Ausgabe</x:v>
      </x:c>
      <x:c r="C20" s="55" t="str">
        <x:v>Spezifikation externer Daten- und Kommunikationsschnittstellen</x:v>
      </x:c>
      <x:c r="D20" s="55" t="str">
        <x:v>Legt Datenbedeutung, Wertebereiche, Zeitverhalten, Durchsatz, Speicher- und Kommunikationsgrenzen fest.</x:v>
      </x:c>
      <x:c r="E20" s="54" t="str">
        <x:v>12</x:v>
      </x:c>
      <x:c r="F20" s="55" t="str">
        <x:v>IEC 61508-3, 7.2.2.12; IEC 61508-2, 7.4.11</x:v>
      </x:c>
      <x:c r="G20" s="56" t="str"/>
      <x:c r="H20" s="58" t="str"/>
      <x:c r="I20" s="58" t="str">
        <x:v>Nicht vorgelegt</x:v>
      </x:c>
      <x:c r="J20" s="56" t="str"/>
      <x:c r="K20" s="56" t="str"/>
    </x:row>
    <x:row r="21" ht="60" customHeight="1">
      <x:c r="A21" s="54" t="str">
        <x:v>D14</x:v>
      </x:c>
      <x:c r="B21" s="54" t="str">
        <x:v>Ausgabe</x:v>
      </x:c>
      <x:c r="C21" s="55" t="str">
        <x:v>Schutzkonzept für Betriebsparameter</x:v>
      </x:c>
      <x:c r="D21" s="55" t="str">
        <x:v>Schützt gegen ungültige Werte, falschen Zeitpunkt, unbefugte Änderung und Verfälschung.</x:v>
      </x:c>
      <x:c r="E21" s="54" t="str">
        <x:v>13</x:v>
      </x:c>
      <x:c r="F21" s="55" t="str">
        <x:v>IEC 61508-3, 7.2.2.13</x:v>
      </x:c>
      <x:c r="G21" s="56" t="str"/>
      <x:c r="H21" s="58" t="str"/>
      <x:c r="I21" s="58" t="str">
        <x:v>Nicht vorgelegt</x:v>
      </x:c>
      <x:c r="J21" s="56" t="str"/>
      <x:c r="K21" s="56" t="str"/>
    </x:row>
    <x:row r="22" ht="60" customHeight="1">
      <x:c r="A22" s="54" t="str">
        <x:v>D15</x:v>
      </x:c>
      <x:c r="B22" s="54" t="str">
        <x:v>Ausgabe</x:v>
      </x:c>
      <x:c r="C22" s="55" t="str">
        <x:v>Rückverfolgbarkeitsmatrix System- zu Software-Sicherheitsanforderungen</x:v>
      </x:c>
      <x:c r="D22" s="55" t="str">
        <x:v>Verknüpft jede Softwareanforderung mit ihrer systembezogenen Quelle und späteren Nachweisen.</x:v>
      </x:c>
      <x:c r="E22" s="54" t="str">
        <x:v>1–13</x:v>
      </x:c>
      <x:c r="F22" s="55" t="str">
        <x:v>IEC 61508-7, C.2.11; IEC 61508-3, Tabelle A.1</x:v>
      </x:c>
      <x:c r="G22" s="56" t="str"/>
      <x:c r="H22" s="58" t="str"/>
      <x:c r="I22" s="58" t="str">
        <x:v>Nicht vorgelegt</x:v>
      </x:c>
      <x:c r="J22" s="56" t="str"/>
      <x:c r="K22" s="56" t="str"/>
    </x:row>
    <x:row r="23" ht="60" customHeight="1">
      <x:c r="A23" s="54" t="str">
        <x:v>D16</x:v>
      </x:c>
      <x:c r="B23" s="54" t="str">
        <x:v>Ausgabe</x:v>
      </x:c>
      <x:c r="C23" s="55" t="str">
        <x:v>Review- und Freigabenachweis der Software-Sicherheitsanforderungen</x:v>
      </x:c>
      <x:c r="D23" s="55" t="str">
        <x:v>Dokumentiert Prüfung, Abweichungen, Korrekturen und Freigabe der SSRS.</x:v>
      </x:c>
      <x:c r="E23" s="54" t="str">
        <x:v>1–13</x:v>
      </x:c>
      <x:c r="F23" s="55" t="str">
        <x:v>IEC 61508-3, 7.2 und 7.9</x:v>
      </x:c>
      <x:c r="G23" s="56" t="str"/>
      <x:c r="H23" s="58" t="str"/>
      <x:c r="I23" s="58" t="str">
        <x:v>Nicht vorgelegt</x:v>
      </x:c>
      <x:c r="J23" s="56" t="str"/>
      <x:c r="K23" s="56" t="str"/>
    </x:row>
    <x:row r="24" ht="56" customHeight="1">
      <x:c r="A24" s="43"/>
      <x:c r="B24" s="43"/>
      <x:c r="C24" s="41"/>
      <x:c r="D24" s="41"/>
      <x:c r="E24" s="43"/>
      <x:c r="F24" s="41"/>
      <x:c r="G24" s="19"/>
      <x:c r="H24" s="44"/>
      <x:c r="I24" s="44"/>
      <x:c r="J24" s="19"/>
      <x:c r="K24" s="19"/>
    </x:row>
    <x:row r="25" ht="56" customHeight="1">
      <x:c r="A25" s="43"/>
      <x:c r="B25" s="43"/>
      <x:c r="C25" s="41"/>
      <x:c r="D25" s="41"/>
      <x:c r="E25" s="43"/>
      <x:c r="F25" s="41"/>
      <x:c r="G25" s="19"/>
      <x:c r="H25" s="44"/>
      <x:c r="I25" s="44"/>
      <x:c r="J25" s="19"/>
      <x:c r="K25" s="19"/>
    </x:row>
    <x:row r="26" ht="56" customHeight="1">
      <x:c r="A26" s="43"/>
      <x:c r="B26" s="43"/>
      <x:c r="C26" s="41"/>
      <x:c r="D26" s="41"/>
      <x:c r="E26" s="43"/>
      <x:c r="F26" s="41"/>
      <x:c r="G26" s="19"/>
      <x:c r="H26" s="44"/>
      <x:c r="I26" s="44"/>
      <x:c r="J26" s="19"/>
      <x:c r="K26" s="19"/>
    </x:row>
    <x:row r="27" ht="56" customHeight="1">
      <x:c r="A27" s="43"/>
      <x:c r="B27" s="43"/>
      <x:c r="C27" s="41"/>
      <x:c r="D27" s="41"/>
      <x:c r="E27" s="43"/>
      <x:c r="F27" s="41"/>
      <x:c r="G27" s="19"/>
      <x:c r="H27" s="44"/>
      <x:c r="I27" s="44"/>
      <x:c r="J27" s="19"/>
      <x:c r="K27" s="19"/>
    </x:row>
    <x:row r="28" ht="56" customHeight="1">
      <x:c r="A28" s="43"/>
      <x:c r="B28" s="43"/>
      <x:c r="C28" s="41"/>
      <x:c r="D28" s="41"/>
      <x:c r="E28" s="43"/>
      <x:c r="F28" s="41"/>
      <x:c r="G28" s="19"/>
      <x:c r="H28" s="44"/>
      <x:c r="I28" s="44"/>
      <x:c r="J28" s="19"/>
      <x:c r="K28" s="19"/>
    </x:row>
    <x:row r="29" ht="56" customHeight="1">
      <x:c r="A29" s="43"/>
      <x:c r="B29" s="43"/>
      <x:c r="C29" s="41"/>
      <x:c r="D29" s="41"/>
      <x:c r="E29" s="43"/>
      <x:c r="F29" s="41"/>
      <x:c r="G29" s="19"/>
      <x:c r="H29" s="44"/>
      <x:c r="I29" s="44"/>
      <x:c r="J29" s="19"/>
      <x:c r="K29" s="19"/>
    </x:row>
    <x:row r="30" ht="56" customHeight="1">
      <x:c r="A30" s="43"/>
      <x:c r="B30" s="43"/>
      <x:c r="C30" s="41"/>
      <x:c r="D30" s="41"/>
      <x:c r="E30" s="43"/>
      <x:c r="F30" s="41"/>
      <x:c r="G30" s="19"/>
      <x:c r="H30" s="44"/>
      <x:c r="I30" s="44"/>
      <x:c r="J30" s="19"/>
      <x:c r="K30" s="19"/>
    </x:row>
    <x:row r="31" ht="56" customHeight="1">
      <x:c r="A31" s="43"/>
      <x:c r="B31" s="43"/>
      <x:c r="C31" s="41"/>
      <x:c r="D31" s="41"/>
      <x:c r="E31" s="43"/>
      <x:c r="F31" s="41"/>
      <x:c r="G31" s="19"/>
      <x:c r="H31" s="44"/>
      <x:c r="I31" s="44"/>
      <x:c r="J31" s="19"/>
      <x:c r="K31" s="19"/>
    </x:row>
    <x:row r="32" ht="56" customHeight="1">
      <x:c r="A32" s="43"/>
      <x:c r="B32" s="43"/>
      <x:c r="C32" s="41"/>
      <x:c r="D32" s="41"/>
      <x:c r="E32" s="43"/>
      <x:c r="F32" s="41"/>
      <x:c r="G32" s="19"/>
      <x:c r="H32" s="44"/>
      <x:c r="I32" s="44"/>
      <x:c r="J32" s="19"/>
      <x:c r="K32" s="19"/>
    </x:row>
    <x:row r="33" ht="56" customHeight="1">
      <x:c r="A33" s="43"/>
      <x:c r="B33" s="43"/>
      <x:c r="C33" s="41"/>
      <x:c r="D33" s="41"/>
      <x:c r="E33" s="43"/>
      <x:c r="F33" s="41"/>
      <x:c r="G33" s="19"/>
      <x:c r="H33" s="44"/>
      <x:c r="I33" s="44"/>
      <x:c r="J33" s="19"/>
      <x:c r="K33" s="19"/>
    </x:row>
    <x:row r="34" ht="56" customHeight="1">
      <x:c r="A34" s="43"/>
      <x:c r="B34" s="43"/>
      <x:c r="C34" s="41"/>
      <x:c r="D34" s="41"/>
      <x:c r="E34" s="43"/>
      <x:c r="F34" s="41"/>
      <x:c r="G34" s="19"/>
      <x:c r="H34" s="44"/>
      <x:c r="I34" s="44"/>
      <x:c r="J34" s="19"/>
      <x:c r="K34" s="19"/>
    </x:row>
    <x:row r="35" ht="56" customHeight="1">
      <x:c r="A35" s="43"/>
      <x:c r="B35" s="43"/>
      <x:c r="C35" s="41"/>
      <x:c r="D35" s="41"/>
      <x:c r="E35" s="43"/>
      <x:c r="F35" s="41"/>
      <x:c r="G35" s="19"/>
      <x:c r="H35" s="44"/>
      <x:c r="I35" s="44"/>
      <x:c r="J35" s="19"/>
      <x:c r="K35" s="19"/>
    </x:row>
    <x:row r="36" ht="56" customHeight="1">
      <x:c r="A36" s="43"/>
      <x:c r="B36" s="43"/>
      <x:c r="C36" s="41"/>
      <x:c r="D36" s="41"/>
      <x:c r="E36" s="43"/>
      <x:c r="F36" s="41"/>
      <x:c r="G36" s="19"/>
      <x:c r="H36" s="44"/>
      <x:c r="I36" s="44"/>
      <x:c r="J36" s="19"/>
      <x:c r="K36" s="19"/>
    </x:row>
    <x:row r="37" ht="56" customHeight="1">
      <x:c r="A37" s="43"/>
      <x:c r="B37" s="43"/>
      <x:c r="C37" s="41"/>
      <x:c r="D37" s="41"/>
      <x:c r="E37" s="43"/>
      <x:c r="F37" s="41"/>
      <x:c r="G37" s="19"/>
      <x:c r="H37" s="44"/>
      <x:c r="I37" s="44"/>
      <x:c r="J37" s="19"/>
      <x:c r="K37" s="19"/>
    </x:row>
    <x:row r="38" ht="56" customHeight="1">
      <x:c r="A38" s="43"/>
      <x:c r="B38" s="43"/>
      <x:c r="C38" s="41"/>
      <x:c r="D38" s="41"/>
      <x:c r="E38" s="43"/>
      <x:c r="F38" s="41"/>
      <x:c r="G38" s="19"/>
      <x:c r="H38" s="44"/>
      <x:c r="I38" s="44"/>
      <x:c r="J38" s="19"/>
      <x:c r="K38" s="19"/>
    </x:row>
    <x:row r="39" ht="56" customHeight="1">
      <x:c r="A39" s="43"/>
      <x:c r="B39" s="43"/>
      <x:c r="C39" s="41"/>
      <x:c r="D39" s="41"/>
      <x:c r="E39" s="43"/>
      <x:c r="F39" s="41"/>
      <x:c r="G39" s="19"/>
      <x:c r="H39" s="44"/>
      <x:c r="I39" s="44"/>
      <x:c r="J39" s="19"/>
      <x:c r="K39" s="19"/>
    </x:row>
    <x:row r="40" ht="56" customHeight="1">
      <x:c r="A40" s="43"/>
      <x:c r="B40" s="43"/>
      <x:c r="C40" s="41"/>
      <x:c r="D40" s="41"/>
      <x:c r="E40" s="43"/>
      <x:c r="F40" s="41"/>
      <x:c r="G40" s="19"/>
      <x:c r="H40" s="44"/>
      <x:c r="I40" s="44"/>
      <x:c r="J40" s="19"/>
      <x:c r="K40" s="19"/>
    </x:row>
    <x:row r="41" ht="56" customHeight="1">
      <x:c r="A41" s="43"/>
      <x:c r="B41" s="43"/>
      <x:c r="C41" s="41"/>
      <x:c r="D41" s="41"/>
      <x:c r="E41" s="43"/>
      <x:c r="F41" s="41"/>
      <x:c r="G41" s="19"/>
      <x:c r="H41" s="44"/>
      <x:c r="I41" s="44"/>
      <x:c r="J41" s="19"/>
      <x:c r="K41" s="19"/>
    </x:row>
    <x:row r="42" ht="56" customHeight="1">
      <x:c r="A42" s="43"/>
      <x:c r="B42" s="43"/>
      <x:c r="C42" s="41"/>
      <x:c r="D42" s="41"/>
      <x:c r="E42" s="43"/>
      <x:c r="F42" s="41"/>
      <x:c r="G42" s="19"/>
      <x:c r="H42" s="44"/>
      <x:c r="I42" s="44"/>
      <x:c r="J42" s="19"/>
      <x:c r="K42" s="19"/>
    </x:row>
    <x:row r="43" ht="56" customHeight="1">
      <x:c r="A43" s="43"/>
      <x:c r="B43" s="43"/>
      <x:c r="C43" s="41"/>
      <x:c r="D43" s="41"/>
      <x:c r="E43" s="43"/>
      <x:c r="F43" s="41"/>
      <x:c r="G43" s="19"/>
      <x:c r="H43" s="44"/>
      <x:c r="I43" s="44"/>
      <x:c r="J43" s="19"/>
      <x:c r="K43" s="19"/>
    </x:row>
    <x:row r="44" ht="56" customHeight="1">
      <x:c r="A44" s="43"/>
      <x:c r="B44" s="43"/>
      <x:c r="C44" s="41"/>
      <x:c r="D44" s="41"/>
      <x:c r="E44" s="43"/>
      <x:c r="F44" s="41"/>
      <x:c r="G44" s="19"/>
      <x:c r="H44" s="44"/>
      <x:c r="I44" s="44"/>
      <x:c r="J44" s="19"/>
      <x:c r="K44" s="19"/>
    </x:row>
    <x:row r="45">
      <x:c r="A45" s="2"/>
      <x:c r="B45" s="2"/>
      <x:c r="C45" s="2"/>
      <x:c r="D45" s="2"/>
      <x:c r="E45" s="2"/>
      <x:c r="F45" s="2"/>
      <x:c r="G45" s="2"/>
      <x:c r="H45" s="2"/>
      <x:c r="I45" s="2"/>
      <x:c r="J45" s="2"/>
      <x:c r="K45" s="2"/>
    </x:row>
  </x:sheetData>
  <x:mergeCells>
    <x:mergeCell ref="A1:K2"/>
    <x:mergeCell ref="A3:K3"/>
  </x:mergeCells>
  <x:conditionalFormatting sqref="B8:B44">
    <x:cfRule type="expression" dxfId="4" priority="1">
      <x:formula>B8="Eingabe"</x:formula>
    </x:cfRule>
    <x:cfRule type="expression" dxfId="5" priority="2">
      <x:formula>B8="Ausgabe"</x:formula>
    </x:cfRule>
    <x:cfRule type="expression" dxfId="6" priority="3">
      <x:formula>B8="Eingabe / Ausgabe"</x:formula>
    </x:cfRule>
  </x:conditionalFormatting>
  <x:conditionalFormatting sqref="I8:I44">
    <x:cfRule type="expression" dxfId="7" priority="4">
      <x:formula>I8="Geprüft"</x:formula>
    </x:cfRule>
    <x:cfRule type="expression" dxfId="8" priority="5">
      <x:formula>I8="Freigegeben"</x:formula>
    </x:cfRule>
    <x:cfRule type="expression" dxfId="9" priority="6">
      <x:formula>I8="Nicht vorgelegt"</x:formula>
    </x:cfRule>
  </x:conditionalFormatting>
  <x:dataValidations count="2">
    <x:dataValidation type="list" sqref="I8:I44">
      <x:formula1>"Nicht vorgelegt,Vorgelegt,In Prüfung,Geprüft,Freigegeben,Nicht anwendbar"</x:formula1>
    </x:dataValidation>
    <x:dataValidation type="list" sqref="I8:I23">
      <x:formula1>"Nicht vorgelegt,Vorgelegt,In Prüfung,Geprüft,Freigegeben,Nicht anwendbar"</x:formula1>
    </x:dataValidation>
  </x:dataValidations>
  <x:pageMargins left="0.7" right="0.7" top="0.75" bottom="0.75" header="0.3" footer="0.3"/>
  <x:tableParts count="1">
    <x:tablePart xmlns:r="http://schemas.openxmlformats.org/officeDocument/2006/relationships" r:id="Rd8603c7f214c406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8" hidden="0" customWidth="1"/>
    <x:col min="3" max="3" width="58" hidden="0" customWidth="1"/>
    <x:col min="4" max="4" width="18" hidden="0" customWidth="1"/>
    <x:col min="5" max="5" width="22" hidden="0" customWidth="1"/>
    <x:col min="6" max="6" width="14" hidden="0" customWidth="1"/>
    <x:col min="7" max="7" width="20" hidden="0" customWidth="1"/>
  </x:cols>
  <x:sheetData>
    <x:row r="1" ht="34" customHeight="1">
      <x:c r="A1" s="6" t="str">
        <x:v>Review-Ergebnisse und durchzuführende Maßnahmen</x:v>
      </x:c>
      <x:c r="B1" s="6" t="str">
        <x:v>Review-Ergebnisse und durchzuführende Maßnahmen</x:v>
      </x:c>
      <x:c r="C1" s="6" t="str">
        <x:v>Review-Ergebnisse und durchzuführende Maßnahmen</x:v>
      </x:c>
      <x:c r="D1" s="6" t="str">
        <x:v>Review-Ergebnisse und durchzuführende Maßnahmen</x:v>
      </x:c>
      <x:c r="E1" s="6" t="str">
        <x:v>Review-Ergebnisse und durchzuführende Maßnahmen</x:v>
      </x:c>
      <x:c r="F1" s="6" t="str">
        <x:v>Review-Ergebnisse und durchzuführende Maßnahmen</x:v>
      </x:c>
      <x:c r="G1" s="6" t="str">
        <x:v>Review-Ergebnisse und durchzuführende Maßnahmen</x:v>
      </x:c>
    </x:row>
    <x:row r="2" ht="34" customHeight="1">
      <x:c r="A2" s="6" t="str">
        <x:v>Review-Ergebnisse und durchzuführende Maßnahmen</x:v>
      </x:c>
      <x:c r="B2" s="6" t="str">
        <x:v>Review-Ergebnisse und durchzuführende Maßnahmen</x:v>
      </x:c>
      <x:c r="C2" s="6" t="str">
        <x:v>Review-Ergebnisse und durchzuführende Maßnahmen</x:v>
      </x:c>
      <x:c r="D2" s="6" t="str">
        <x:v>Review-Ergebnisse und durchzuführende Maßnahmen</x:v>
      </x:c>
      <x:c r="E2" s="6" t="str">
        <x:v>Review-Ergebnisse und durchzuführende Maßnahmen</x:v>
      </x:c>
      <x:c r="F2" s="6" t="str">
        <x:v>Review-Ergebnisse und durchzuführende Maßnahmen</x:v>
      </x:c>
      <x:c r="G2" s="6" t="str">
        <x:v>Review-Ergebnisse und durchzuführende Maßnahmen</x:v>
      </x:c>
    </x:row>
    <x:row r="3">
      <x:c r="A3" s="8" t="str">
        <x:v>A = Aufgabe · I = Information · B = Beschluss. Der Bezug zum Prüfpunkt ermöglicht die direkte Rückverfolgung.</x:v>
      </x:c>
      <x:c r="B3" s="8"/>
      <x:c r="C3" s="8"/>
      <x:c r="D3" s="8"/>
      <x:c r="E3" s="8"/>
      <x:c r="F3" s="8"/>
      <x:c r="G3" s="8"/>
    </x:row>
    <x:row r="4">
      <x:c r="A4" s="2"/>
      <x:c r="B4" s="2"/>
      <x:c r="C4" s="2"/>
      <x:c r="D4" s="2"/>
      <x:c r="E4" s="2"/>
      <x:c r="F4" s="2"/>
      <x:c r="G4" s="2"/>
    </x:row>
    <x:row r="5">
      <x:c r="A5" s="40" t="str">
        <x:v>ID</x:v>
      </x:c>
      <x:c r="B5" s="40" t="str">
        <x:v>Typ</x:v>
      </x:c>
      <x:c r="C5" s="40" t="str">
        <x:v>Review-Ergebnis / Maßnahme</x:v>
      </x:c>
      <x:c r="D5" s="40" t="str">
        <x:v>Bezug Prüfpunkt</x:v>
      </x:c>
      <x:c r="E5" s="40" t="str">
        <x:v>Verantwortlich</x:v>
      </x:c>
      <x:c r="F5" s="40" t="str">
        <x:v>Fällig am</x:v>
      </x:c>
      <x:c r="G5" s="40" t="str">
        <x:v>Status</x:v>
      </x:c>
    </x:row>
    <x:row r="6" ht="34" customHeight="1">
      <x:c r="A6" s="40" t="str">
        <x:v>M-01</x:v>
      </x:c>
      <x:c r="B6" s="19" t="str"/>
      <x:c r="C6" s="19" t="str"/>
      <x:c r="D6" s="19" t="str"/>
      <x:c r="E6" s="19" t="str"/>
      <x:c r="F6" s="20" t="str"/>
      <x:c r="G6" s="19" t="str">
        <x:v>Offen</x:v>
      </x:c>
    </x:row>
    <x:row r="7" ht="34" customHeight="1">
      <x:c r="A7" s="40" t="str">
        <x:v>M-02</x:v>
      </x:c>
      <x:c r="B7" s="19" t="str"/>
      <x:c r="C7" s="19" t="str"/>
      <x:c r="D7" s="19" t="str"/>
      <x:c r="E7" s="19" t="str"/>
      <x:c r="F7" s="20" t="str"/>
      <x:c r="G7" s="19" t="str">
        <x:v>Offen</x:v>
      </x:c>
    </x:row>
    <x:row r="8" ht="34" customHeight="1">
      <x:c r="A8" s="40" t="str">
        <x:v>M-03</x:v>
      </x:c>
      <x:c r="B8" s="19" t="str"/>
      <x:c r="C8" s="19" t="str"/>
      <x:c r="D8" s="19" t="str"/>
      <x:c r="E8" s="19" t="str"/>
      <x:c r="F8" s="20" t="str"/>
      <x:c r="G8" s="19" t="str">
        <x:v>Offen</x:v>
      </x:c>
    </x:row>
    <x:row r="9" ht="34" customHeight="1">
      <x:c r="A9" s="40" t="str">
        <x:v>M-04</x:v>
      </x:c>
      <x:c r="B9" s="19" t="str"/>
      <x:c r="C9" s="19" t="str"/>
      <x:c r="D9" s="19" t="str"/>
      <x:c r="E9" s="19" t="str"/>
      <x:c r="F9" s="20" t="str"/>
      <x:c r="G9" s="19" t="str">
        <x:v>Offen</x:v>
      </x:c>
    </x:row>
    <x:row r="10" ht="34" customHeight="1">
      <x:c r="A10" s="40" t="str">
        <x:v>M-05</x:v>
      </x:c>
      <x:c r="B10" s="19" t="str"/>
      <x:c r="C10" s="19" t="str"/>
      <x:c r="D10" s="19" t="str"/>
      <x:c r="E10" s="19" t="str"/>
      <x:c r="F10" s="20" t="str"/>
      <x:c r="G10" s="19" t="str">
        <x:v>Offen</x:v>
      </x:c>
    </x:row>
    <x:row r="11" ht="34" customHeight="1">
      <x:c r="A11" s="40" t="str">
        <x:v>M-06</x:v>
      </x:c>
      <x:c r="B11" s="19" t="str"/>
      <x:c r="C11" s="19" t="str"/>
      <x:c r="D11" s="19" t="str"/>
      <x:c r="E11" s="19" t="str"/>
      <x:c r="F11" s="20" t="str"/>
      <x:c r="G11" s="19" t="str">
        <x:v>Offen</x:v>
      </x:c>
    </x:row>
    <x:row r="12" ht="34" customHeight="1">
      <x:c r="A12" s="40" t="str">
        <x:v>M-07</x:v>
      </x:c>
      <x:c r="B12" s="19" t="str"/>
      <x:c r="C12" s="19" t="str"/>
      <x:c r="D12" s="19" t="str"/>
      <x:c r="E12" s="19" t="str"/>
      <x:c r="F12" s="20" t="str"/>
      <x:c r="G12" s="19" t="str">
        <x:v>Offen</x:v>
      </x:c>
    </x:row>
    <x:row r="13" ht="34" customHeight="1">
      <x:c r="A13" s="40" t="str">
        <x:v>M-08</x:v>
      </x:c>
      <x:c r="B13" s="19" t="str"/>
      <x:c r="C13" s="19" t="str"/>
      <x:c r="D13" s="19" t="str"/>
      <x:c r="E13" s="19" t="str"/>
      <x:c r="F13" s="20" t="str"/>
      <x:c r="G13" s="19" t="str">
        <x:v>Offen</x:v>
      </x:c>
    </x:row>
    <x:row r="14" ht="34" customHeight="1">
      <x:c r="A14" s="40" t="str">
        <x:v>M-09</x:v>
      </x:c>
      <x:c r="B14" s="19" t="str"/>
      <x:c r="C14" s="19" t="str"/>
      <x:c r="D14" s="19" t="str"/>
      <x:c r="E14" s="19" t="str"/>
      <x:c r="F14" s="20" t="str"/>
      <x:c r="G14" s="19" t="str">
        <x:v>Offen</x:v>
      </x:c>
    </x:row>
    <x:row r="15" ht="34" customHeight="1">
      <x:c r="A15" s="40" t="str">
        <x:v>M-10</x:v>
      </x:c>
      <x:c r="B15" s="19" t="str"/>
      <x:c r="C15" s="19" t="str"/>
      <x:c r="D15" s="19" t="str"/>
      <x:c r="E15" s="19" t="str"/>
      <x:c r="F15" s="20" t="str"/>
      <x:c r="G15" s="19" t="str">
        <x:v>Offen</x:v>
      </x:c>
    </x:row>
    <x:row r="16" ht="34" customHeight="1">
      <x:c r="A16" s="40" t="str">
        <x:v>M-11</x:v>
      </x:c>
      <x:c r="B16" s="19" t="str"/>
      <x:c r="C16" s="19" t="str"/>
      <x:c r="D16" s="19" t="str"/>
      <x:c r="E16" s="19" t="str"/>
      <x:c r="F16" s="20" t="str"/>
      <x:c r="G16" s="19" t="str">
        <x:v>Offen</x:v>
      </x:c>
    </x:row>
    <x:row r="17" ht="34" customHeight="1">
      <x:c r="A17" s="40" t="str">
        <x:v>M-12</x:v>
      </x:c>
      <x:c r="B17" s="19" t="str"/>
      <x:c r="C17" s="19" t="str"/>
      <x:c r="D17" s="19" t="str"/>
      <x:c r="E17" s="19" t="str"/>
      <x:c r="F17" s="20" t="str"/>
      <x:c r="G17" s="19" t="str">
        <x:v>Offen</x:v>
      </x:c>
    </x:row>
    <x:row r="18" ht="34" customHeight="1">
      <x:c r="A18" s="40" t="str">
        <x:v>M-13</x:v>
      </x:c>
      <x:c r="B18" s="19" t="str"/>
      <x:c r="C18" s="19" t="str"/>
      <x:c r="D18" s="19" t="str"/>
      <x:c r="E18" s="19" t="str"/>
      <x:c r="F18" s="20" t="str"/>
      <x:c r="G18" s="19" t="str">
        <x:v>Offen</x:v>
      </x:c>
    </x:row>
    <x:row r="19" ht="34" customHeight="1">
      <x:c r="A19" s="40" t="str">
        <x:v>M-14</x:v>
      </x:c>
      <x:c r="B19" s="19" t="str"/>
      <x:c r="C19" s="19" t="str"/>
      <x:c r="D19" s="19" t="str"/>
      <x:c r="E19" s="19" t="str"/>
      <x:c r="F19" s="20" t="str"/>
      <x:c r="G19" s="19" t="str">
        <x:v>Offen</x:v>
      </x:c>
    </x:row>
    <x:row r="20" ht="34" customHeight="1">
      <x:c r="A20" s="40" t="str">
        <x:v>M-15</x:v>
      </x:c>
      <x:c r="B20" s="19" t="str"/>
      <x:c r="C20" s="19" t="str"/>
      <x:c r="D20" s="19" t="str"/>
      <x:c r="E20" s="19" t="str"/>
      <x:c r="F20" s="20" t="str"/>
      <x:c r="G20" s="19" t="str">
        <x:v>Offen</x:v>
      </x:c>
    </x:row>
    <x:row r="21" ht="34" customHeight="1">
      <x:c r="A21" s="40" t="str">
        <x:v>M-16</x:v>
      </x:c>
      <x:c r="B21" s="19" t="str"/>
      <x:c r="C21" s="19" t="str"/>
      <x:c r="D21" s="19" t="str"/>
      <x:c r="E21" s="19" t="str"/>
      <x:c r="F21" s="20" t="str"/>
      <x:c r="G21" s="19" t="str">
        <x:v>Offen</x:v>
      </x:c>
    </x:row>
    <x:row r="22" ht="34" customHeight="1">
      <x:c r="A22" s="40" t="str">
        <x:v>M-17</x:v>
      </x:c>
      <x:c r="B22" s="19" t="str"/>
      <x:c r="C22" s="19" t="str"/>
      <x:c r="D22" s="19" t="str"/>
      <x:c r="E22" s="19" t="str"/>
      <x:c r="F22" s="20" t="str"/>
      <x:c r="G22" s="19" t="str">
        <x:v>Offen</x:v>
      </x:c>
    </x:row>
    <x:row r="23" ht="34" customHeight="1">
      <x:c r="A23" s="40" t="str">
        <x:v>M-18</x:v>
      </x:c>
      <x:c r="B23" s="19" t="str"/>
      <x:c r="C23" s="19" t="str"/>
      <x:c r="D23" s="19" t="str"/>
      <x:c r="E23" s="19" t="str"/>
      <x:c r="F23" s="20" t="str"/>
      <x:c r="G23" s="19" t="str">
        <x:v>Offen</x:v>
      </x:c>
    </x:row>
    <x:row r="24" ht="34" customHeight="1">
      <x:c r="A24" s="40" t="str">
        <x:v>M-19</x:v>
      </x:c>
      <x:c r="B24" s="19" t="str"/>
      <x:c r="C24" s="19" t="str"/>
      <x:c r="D24" s="19" t="str"/>
      <x:c r="E24" s="19" t="str"/>
      <x:c r="F24" s="20" t="str"/>
      <x:c r="G24" s="19" t="str">
        <x:v>Offen</x:v>
      </x:c>
    </x:row>
    <x:row r="25" ht="34" customHeight="1">
      <x:c r="A25" s="40" t="str">
        <x:v>M-20</x:v>
      </x:c>
      <x:c r="B25" s="19" t="str"/>
      <x:c r="C25" s="19" t="str"/>
      <x:c r="D25" s="19" t="str"/>
      <x:c r="E25" s="19" t="str"/>
      <x:c r="F25" s="20" t="str"/>
      <x:c r="G25" s="19" t="str">
        <x:v>Offen</x:v>
      </x:c>
    </x:row>
    <x:row r="26">
      <x:c r="A26" s="2"/>
      <x:c r="B26" s="2"/>
      <x:c r="C26" s="2"/>
      <x:c r="D26" s="2"/>
      <x:c r="E26" s="2"/>
      <x:c r="F26" s="2"/>
      <x:c r="G26" s="2"/>
    </x:row>
    <x:row r="27">
      <x:c r="A27" s="2"/>
      <x:c r="B27" s="2"/>
      <x:c r="C27" s="2"/>
      <x:c r="D27" s="2"/>
      <x:c r="E27" s="2"/>
      <x:c r="F27" s="2"/>
      <x:c r="G27" s="2"/>
    </x:row>
    <x:row r="28">
      <x:c r="A28" s="2"/>
      <x:c r="B28" s="2"/>
      <x:c r="C28" s="2"/>
      <x:c r="D28" s="2"/>
      <x:c r="E28" s="2"/>
      <x:c r="F28" s="2"/>
      <x:c r="G28" s="2"/>
    </x:row>
    <x:row r="29">
      <x:c r="A29" s="2"/>
      <x:c r="B29" s="2"/>
      <x:c r="C29" s="2"/>
      <x:c r="D29" s="2"/>
      <x:c r="E29" s="2"/>
      <x:c r="F29" s="2"/>
      <x:c r="G29" s="2"/>
    </x:row>
    <x:row r="30">
      <x:c r="A30" s="2"/>
      <x:c r="B30" s="2"/>
      <x:c r="C30" s="2"/>
      <x:c r="D30" s="2"/>
      <x:c r="E30" s="2"/>
      <x:c r="F30" s="2"/>
      <x:c r="G30" s="2"/>
    </x:row>
    <x:row r="31">
      <x:c r="A31" s="2"/>
      <x:c r="B31" s="2"/>
      <x:c r="C31" s="2"/>
      <x:c r="D31" s="2"/>
      <x:c r="E31" s="2"/>
      <x:c r="F31" s="2"/>
      <x:c r="G31" s="2"/>
    </x:row>
  </x:sheetData>
  <x:mergeCells>
    <x:mergeCell ref="A1:G2"/>
    <x:mergeCell ref="A3:G3"/>
  </x:mergeCells>
  <x:conditionalFormatting sqref="G6:G25">
    <x:cfRule type="expression" dxfId="10" priority="1">
      <x:formula>G6="Erledigt"</x:formula>
    </x:cfRule>
    <x:cfRule type="expression" dxfId="11" priority="2">
      <x:formula>G6="Offen"</x:formula>
    </x:cfRule>
  </x:conditionalFormatting>
  <x:dataValidations count="2">
    <x:dataValidation type="list" sqref="B6:B25">
      <x:formula1>"A,I,B"</x:formula1>
    </x:dataValidation>
    <x:dataValidation type="list" sqref="G6:G25">
      <x:formula1>"Offen,In Bearbeitung,Erledigt,Zurückgestellt"</x:formula1>
    </x:dataValidation>
  </x:dataValidations>
  <x:pageMargins left="0.7" right="0.7" top="0.75" bottom="0.75" header="0.3" footer="0.3"/>
  <x:tableParts count="1">
    <x:tablePart xmlns:r="http://schemas.openxmlformats.org/officeDocument/2006/relationships" r:id="R775a15112fbd417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42" hidden="0" customWidth="1"/>
    <x:col min="3" max="3" width="22" hidden="0" customWidth="1"/>
    <x:col min="4" max="4" width="9" hidden="0" customWidth="1"/>
    <x:col min="5" max="5" width="9" hidden="0" customWidth="1"/>
    <x:col min="6" max="6" width="9" hidden="0" customWidth="1"/>
    <x:col min="7" max="7" width="72" hidden="0" customWidth="1"/>
    <x:col min="8" max="8" width="58" hidden="0" customWidth="1"/>
  </x:cols>
  <x:sheetData>
    <x:row r="1" ht="34" customHeight="1">
      <x:c r="A1" s="6" t="str">
        <x:v>Tabelle A.1 – Spezifikation der Anforderungen an die Sicherheit der Software</x:v>
      </x:c>
      <x:c r="B1" s="6" t="str">
        <x:v>Tabelle A.1 – Spezifikation der Anforderungen an die Sicherheit der Software</x:v>
      </x:c>
      <x:c r="C1" s="6" t="str">
        <x:v>Tabelle A.1 – Spezifikation der Anforderungen an die Sicherheit der Software</x:v>
      </x:c>
      <x:c r="D1" s="6" t="str">
        <x:v>Tabelle A.1 – Spezifikation der Anforderungen an die Sicherheit der Software</x:v>
      </x:c>
      <x:c r="E1" s="6" t="str">
        <x:v>Tabelle A.1 – Spezifikation der Anforderungen an die Sicherheit der Software</x:v>
      </x:c>
      <x:c r="F1" s="6" t="str">
        <x:v>Tabelle A.1 – Spezifikation der Anforderungen an die Sicherheit der Software</x:v>
      </x:c>
      <x:c r="G1" s="6" t="str">
        <x:v>Tabelle A.1 – Spezifikation der Anforderungen an die Sicherheit der Software</x:v>
      </x:c>
      <x:c r="H1" s="6" t="str">
        <x:v>Tabelle A.1 – Spezifikation der Anforderungen an die Sicherheit der Software</x:v>
      </x:c>
    </x:row>
    <x:row r="2" ht="34" customHeight="1">
      <x:c r="A2" s="6" t="str">
        <x:v>Tabelle A.1 – Spezifikation der Anforderungen an die Sicherheit der Software</x:v>
      </x:c>
      <x:c r="B2" s="6" t="str">
        <x:v>Tabelle A.1 – Spezifikation der Anforderungen an die Sicherheit der Software</x:v>
      </x:c>
      <x:c r="C2" s="6" t="str">
        <x:v>Tabelle A.1 – Spezifikation der Anforderungen an die Sicherheit der Software</x:v>
      </x:c>
      <x:c r="D2" s="6" t="str">
        <x:v>Tabelle A.1 – Spezifikation der Anforderungen an die Sicherheit der Software</x:v>
      </x:c>
      <x:c r="E2" s="6" t="str">
        <x:v>Tabelle A.1 – Spezifikation der Anforderungen an die Sicherheit der Software</x:v>
      </x:c>
      <x:c r="F2" s="6" t="str">
        <x:v>Tabelle A.1 – Spezifikation der Anforderungen an die Sicherheit der Software</x:v>
      </x:c>
      <x:c r="G2" s="6" t="str">
        <x:v>Tabelle A.1 – Spezifikation der Anforderungen an die Sicherheit der Software</x:v>
      </x:c>
      <x:c r="H2" s="6" t="str">
        <x:v>Tabelle A.1 – Spezifikation der Anforderungen an die Sicherheit der Software</x:v>
      </x:c>
    </x:row>
    <x:row r="3">
      <x:c r="A3" s="8" t="str">
        <x:v>Normnahe Erläuterungen und vollständige Referenzen; Anwendbarkeit für SIL 1 bis SIL 3.</x:v>
      </x:c>
      <x:c r="B3" s="8" t="str">
        <x:v>Normnahe Erläuterungen und vollständige Referenzen; Anwendbarkeit für SIL 1 bis SIL 3.</x:v>
      </x:c>
      <x:c r="C3" s="8" t="str">
        <x:v>Normnahe Erläuterungen und vollständige Referenzen; Anwendbarkeit für SIL 1 bis SIL 3.</x:v>
      </x:c>
      <x:c r="D3" s="8" t="str">
        <x:v>Normnahe Erläuterungen und vollständige Referenzen; Anwendbarkeit für SIL 1 bis SIL 3.</x:v>
      </x:c>
      <x:c r="E3" s="8" t="str">
        <x:v>Normnahe Erläuterungen und vollständige Referenzen; Anwendbarkeit für SIL 1 bis SIL 3.</x:v>
      </x:c>
      <x:c r="F3" s="8" t="str">
        <x:v>Normnahe Erläuterungen und vollständige Referenzen; Anwendbarkeit für SIL 1 bis SIL 3.</x:v>
      </x:c>
      <x:c r="G3" s="8" t="str">
        <x:v>Normnahe Erläuterungen und vollständige Referenzen; Anwendbarkeit für SIL 1 bis SIL 3.</x:v>
      </x:c>
      <x:c r="H3" s="8" t="str">
        <x:v>Normnahe Erläuterungen und vollständige Referenzen; Anwendbarkeit für SIL 1 bis SIL 3.</x:v>
      </x:c>
    </x:row>
    <x:row r="4">
      <x:c r="A4" s="2"/>
      <x:c r="B4" s="2"/>
      <x:c r="C4" s="2"/>
      <x:c r="D4" s="2"/>
      <x:c r="E4" s="2"/>
      <x:c r="F4" s="2"/>
      <x:c r="G4" s="2"/>
      <x:c r="H4" s="2"/>
    </x:row>
    <x:row r="5">
      <x:c r="A5" s="40" t="str">
        <x:v>Nr.</x:v>
      </x:c>
      <x:c r="B5" s="40" t="str">
        <x:v>Verfahren / Maßnahme</x:v>
      </x:c>
      <x:c r="C5" s="40" t="str">
        <x:v>Siehe</x:v>
      </x:c>
      <x:c r="D5" s="40" t="str">
        <x:v>SIL 1</x:v>
      </x:c>
      <x:c r="E5" s="40" t="str">
        <x:v>SIL 2</x:v>
      </x:c>
      <x:c r="F5" s="40" t="str">
        <x:v>SIL 3</x:v>
      </x:c>
      <x:c r="G5" s="40" t="str">
        <x:v>Erläuterung</x:v>
      </x:c>
      <x:c r="H5" s="40" t="str">
        <x:v>Normreferenz</x:v>
      </x:c>
    </x:row>
    <x:row r="6" ht="100" customHeight="1">
      <x:c r="A6" s="54" t="str">
        <x:v>1a</x:v>
      </x:c>
      <x:c r="B6" s="59" t="str">
        <x:v>Tabelle A.1 – Spezifikation der Anforderungen an die Sicherheit der Software
Semiformale Methoden</x:v>
      </x:c>
      <x:c r="C6" s="54" t="str">
        <x:v>Tab. B.7</x:v>
      </x:c>
      <x:c r="D6" s="54" t="str">
        <x:v>+</x:v>
      </x:c>
      <x:c r="E6" s="54" t="str">
        <x:v>+</x:v>
      </x:c>
      <x:c r="F6" s="54" t="str">
        <x:v>++</x:v>
      </x:c>
      <x:c r="G6" s="57" t="str">
        <x:v>Semi-formale Methoden beschreiben Anforderungen und Systemverhalten mit festgelegten, strukturierten Darstellungen, ohne durchgehend eine mathematisch-formale Notation zu verlangen. Dazu gehören insbesondere Logik-/Funktionsblockdiagramme, Ablauf- und Datenflussdiagramme, endliche Zustandsmaschinen beziehungsweise Zustandsübergangsdiagramme, zeitbehaftete Petri-Netze, Entity-Relationship-Modelle, Nachrichtenverlaufstabellen sowie Entscheidungs- und Wahrheitstabellen. Ziel ist eine eindeutige und möglichst lückenlose Spezifikation, in der Irrtümer, Auslassungen, unerreichbare Zustände, Widersprüche und fehlerhaftes Verhalten erkennbar werden. Im Review ist zu prüfen, ob die gewählte Notation festgelegt, für den Anwendungsfall geeignet, konsistent angewendet und mit den textlichen Software-Sicherheitsanforderungen abgestimmt ist.</x:v>
      </x:c>
      <x:c r="H6" s="57" t="str">
        <x:v>IEC 61508-3, Tabelle A.1, Nr. 1a und Tabelle B.7; IEC 61508-7, B.2.3, insbesondere B.2.3.1 bis B.2.3.3</x:v>
      </x:c>
    </x:row>
    <x:row r="7" ht="100" customHeight="1">
      <x:c r="A7" s="54" t="str">
        <x:v>1b</x:v>
      </x:c>
      <x:c r="B7" s="59" t="str">
        <x:v>Tabelle A.1 – Spezifikation der Anforderungen an die Sicherheit der Software
Formale Methoden</x:v>
      </x:c>
      <x:c r="C7" s="54" t="str">
        <x:v>B.2.2., C.2.4</x:v>
      </x:c>
      <x:c r="D7" s="54" t="str">
        <x:v>O</x:v>
      </x:c>
      <x:c r="E7" s="54" t="str">
        <x:v>+</x:v>
      </x:c>
      <x:c r="F7" s="54" t="str">
        <x:v>+</x:v>
      </x:c>
      <x:c r="G7" s="57" t="str">
        <x:v>Formale Methoden verwenden mathematisch definierte Modelle und strenge Notationen für Spezifikation, Entwurf oder Implementierung. Dadurch können Vollständigkeit, Widerspruchsfreiheit, Korrektheit und ausgewählte Systemeigenschaften systematisch analysiert oder bewiesen werden; teilweise sind auch maschinelle Analyse und Animation möglich. Im Review sind die Eignung der Methode, der gewählte Abstraktionsgrad, die behandelten Sicherheits- und Robustheitseigenschaften, die Qualifikation der Anwender, die eingesetzten Werkzeuge sowie die dokumentierten Analyse- oder Beweisergebnisse nachvollziehbar zu bewerten.</x:v>
      </x:c>
      <x:c r="H7" s="57" t="str">
        <x:v>IEC 61508-3, Tabelle A.1, Nr. 1b; IEC 61508-7, B.2.2 und C.2.4, insbesondere C.2.4.1 bis C.2.4.9</x:v>
      </x:c>
    </x:row>
    <x:row r="8" ht="100" customHeight="1">
      <x:c r="A8" s="54" t="str">
        <x:v>2</x:v>
      </x:c>
      <x:c r="B8" s="59" t="str">
        <x:v>Tabelle A.1 – Spezifikation der Anforderungen an die Sicherheit der Software
Vorwärtsverfolgbarkeit von den Anforderungen an die Sicherheit des Systems zu den Anforderungen an die Sicherheit der Software</x:v>
      </x:c>
      <x:c r="C8" s="54" t="str">
        <x:v>C.2.11</x:v>
      </x:c>
      <x:c r="D8" s="54" t="str">
        <x:v>+</x:v>
      </x:c>
      <x:c r="E8" s="54" t="str">
        <x:v>+</x:v>
      </x:c>
      <x:c r="F8" s="54" t="str">
        <x:v>++</x:v>
      </x:c>
      <x:c r="G8" s="57" t="str">
        <x:v>Vorwärtsverfolgbarkeit weist nach, dass jede Anforderung an die Sicherheit des Systems in den Anforderungen an die Sicherheit der Software angemessen umgesetzt wird. Die Zuordnung muss erkennen lassen, welche Softwareanforderung welchen Anteil einer Systemanforderung erfüllt und ob Lücken, nicht umgesetzte Anforderungen oder unklare Mehrfachzuordnungen bestehen. Im Review ist eine eindeutige, aktuelle und bis zu den nachfolgenden Entwurfs- und Testnachweisen fortführbare Zuordnung zu verlangen.</x:v>
      </x:c>
      <x:c r="H8" s="57" t="str">
        <x:v>IEC 61508-3, Tabelle A.1, Nr. 2; IEC 61508-7, C.2.11, Vorwärtsverfolgbarkeit von den Anforderungen an die Sicherheit des Systems zu den Anforderungen an die Sicherheit der Software</x:v>
      </x:c>
    </x:row>
    <x:row r="9" ht="100" customHeight="1">
      <x:c r="A9" s="54" t="str">
        <x:v>3</x:v>
      </x:c>
      <x:c r="B9" s="59" t="str">
        <x:v>Tabelle A.1 – Spezifikation der Anforderungen an die Sicherheit der Software
Rückwärtsverfolgbarkeit von den Anforderungen an die Sicherheit zu den wahrgenommenen Sicherheitsbedürfnissen</x:v>
      </x:c>
      <x:c r="C9" s="54" t="str">
        <x:v>C.2.11</x:v>
      </x:c>
      <x:c r="D9" s="54" t="str">
        <x:v>+</x:v>
      </x:c>
      <x:c r="E9" s="54" t="str">
        <x:v>+</x:v>
      </x:c>
      <x:c r="F9" s="54" t="str">
        <x:v>++</x:v>
      </x:c>
      <x:c r="G9" s="57" t="str">
        <x:v>Rückwärtsverfolgbarkeit weist nach, dass jede Software-Sicherheitsanforderung durch ein anerkanntes Sicherheitsbedürfnis oder eine übergeordnete System-Sicherheitsanforderung begründet ist. Dadurch werden unbegründete Funktionen, unnötige Komplexität und Anforderungen ohne sicherheitstechnische Quelle sichtbar. Im Review ist zu prüfen, ob jede Softwareanforderung eine eindeutige Quelle besitzt und Änderungen in beide Richtungen auf ihre Auswirkungen verfolgt werden können.</x:v>
      </x:c>
      <x:c r="H9" s="57" t="str">
        <x:v>IEC 61508-3, Tabelle A.1, Nr. 3; IEC 61508-7, C.2.11, Rückwärtsverfolgbarkeit von den Anforderungen an die Sicherheit zu den anerkannten Sicherheitsbedürfnissen</x:v>
      </x:c>
    </x:row>
    <x:row r="10" ht="100" customHeight="1">
      <x:c r="A10" s="54" t="str">
        <x:v>4</x:v>
      </x:c>
      <x:c r="B10" s="59" t="str">
        <x:v>Tabelle A.1 – Spezifikation der Anforderungen an die Sicherheit der Software
Rechnergestützte Spezifikationswerkzeuge, die die obigen Verfahrenen/Maßnahmen angemessen unterstützen</x:v>
      </x:c>
      <x:c r="C10" s="54" t="str">
        <x:v>B.2.4.</x:v>
      </x:c>
      <x:c r="D10" s="54" t="str">
        <x:v>+</x:v>
      </x:c>
      <x:c r="E10" s="54" t="str">
        <x:v>+</x:v>
      </x:c>
      <x:c r="F10" s="54" t="str">
        <x:v>++</x:v>
      </x:c>
      <x:c r="G10" s="57" t="str">
        <x:v>Rechnerunterstützte Spezifikationswerkzeuge erfassen Anforderungen oder Modelle in einer strukturierten, automatisiert auswertbaren Form. Sie können unter anderem Konsistenz, Vollständigkeit, Verknüpfungen und hierarchische Beziehungen prüfen sowie Modelle darstellen oder animieren. Das Werkzeug unterstützt die Spezifikation, ersetzt jedoch nicht die fachliche Bewertung. Im Review sind Eignung und Konfiguration des Werkzeugs, Versionsstand, angewendete Prüfregeln, Behandlung der Werkzeugmeldungen sowie die Übereinstimmung der Werkzeugdaten mit der freigegebenen Spezifikation nachzuweisen.</x:v>
      </x:c>
      <x:c r="H10" s="57" t="str">
        <x:v>IEC 61508-3, Tabelle A.1, Nr. 4; IEC 61508-7, B.2.4, insbesondere B.2.4.1 bis B.2.4.5</x:v>
      </x:c>
    </x:row>
    <x:row r="11" ht="90" customHeight="1">
      <x:c r="A11" s="43"/>
      <x:c r="B11" s="49"/>
      <x:c r="C11" s="43"/>
      <x:c r="D11" s="43"/>
      <x:c r="E11" s="43"/>
      <x:c r="F11" s="43"/>
      <x:c r="G11" s="42"/>
      <x:c r="H11" s="42"/>
    </x:row>
    <x:row r="12" ht="90" customHeight="1">
      <x:c r="A12" s="43"/>
      <x:c r="B12" s="49"/>
      <x:c r="C12" s="43"/>
      <x:c r="D12" s="43"/>
      <x:c r="E12" s="43"/>
      <x:c r="F12" s="43"/>
      <x:c r="G12" s="42"/>
      <x:c r="H12" s="42"/>
    </x:row>
    <x:row r="13" ht="90" customHeight="1">
      <x:c r="A13" s="43"/>
      <x:c r="B13" s="49"/>
      <x:c r="C13" s="43"/>
      <x:c r="D13" s="43"/>
      <x:c r="E13" s="43"/>
      <x:c r="F13" s="43"/>
      <x:c r="G13" s="42"/>
      <x:c r="H13" s="42"/>
    </x:row>
    <x:row r="14" ht="90" customHeight="1">
      <x:c r="A14" s="43"/>
      <x:c r="B14" s="49"/>
      <x:c r="C14" s="43"/>
      <x:c r="D14" s="43"/>
      <x:c r="E14" s="43"/>
      <x:c r="F14" s="43"/>
      <x:c r="G14" s="42"/>
      <x:c r="H14" s="42"/>
    </x:row>
    <x:row r="15" ht="90" customHeight="1">
      <x:c r="A15" s="43"/>
      <x:c r="B15" s="49"/>
      <x:c r="C15" s="43"/>
      <x:c r="D15" s="43"/>
      <x:c r="E15" s="43"/>
      <x:c r="F15" s="43"/>
      <x:c r="G15" s="42"/>
      <x:c r="H15" s="42"/>
    </x:row>
    <x:row r="16">
      <x:c r="A16" s="2"/>
      <x:c r="B16" s="2"/>
      <x:c r="C16" s="2"/>
      <x:c r="D16" s="2"/>
      <x:c r="E16" s="2"/>
      <x:c r="F16" s="2"/>
      <x:c r="G16" s="2"/>
      <x:c r="H16" s="2"/>
    </x:row>
    <x:row r="17">
      <x:c r="A17" s="2"/>
      <x:c r="B17" s="2"/>
      <x:c r="C17" s="2"/>
      <x:c r="D17" s="2"/>
      <x:c r="E17" s="2"/>
      <x:c r="F17" s="2"/>
      <x:c r="G17" s="2"/>
      <x:c r="H17" s="2"/>
    </x:row>
    <x:row r="18">
      <x:c r="A18" s="2"/>
      <x:c r="B18" s="2"/>
      <x:c r="C18" s="2"/>
      <x:c r="D18" s="2"/>
      <x:c r="E18" s="2"/>
      <x:c r="F18" s="2"/>
      <x:c r="G18" s="2"/>
      <x:c r="H18" s="2"/>
    </x:row>
  </x:sheetData>
  <x:mergeCells>
    <x:mergeCell ref="A1:H2"/>
    <x:mergeCell ref="A3:H3"/>
  </x:mergeCells>
  <x:pageMargins left="0.7" right="0.7" top="0.75" bottom="0.75" header="0.3" footer="0.3"/>
  <x:tableParts count="1">
    <x:tablePart xmlns:r="http://schemas.openxmlformats.org/officeDocument/2006/relationships" r:id="Re549d9e89ace4ba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42" hidden="0" customWidth="1"/>
    <x:col min="3" max="3" width="48" hidden="0" customWidth="1"/>
    <x:col min="4" max="4" width="38" hidden="0" customWidth="1"/>
  </x:cols>
  <x:sheetData>
    <x:row r="1" ht="34" customHeight="1">
      <x:c r="A1" s="6" t="str">
        <x:v>Legende und Anwendungshinweise</x:v>
      </x:c>
      <x:c r="B1" s="6" t="str">
        <x:v>Legende und Anwendungshinweise</x:v>
      </x:c>
      <x:c r="C1" s="6" t="str">
        <x:v>Legende und Anwendungshinweise</x:v>
      </x:c>
      <x:c r="D1" s="6" t="str">
        <x:v>Legende und Anwendungshinweise</x:v>
      </x:c>
    </x:row>
    <x:row r="2" ht="34" customHeight="1">
      <x:c r="A2" s="6" t="str">
        <x:v>Legende und Anwendungshinweise</x:v>
      </x:c>
      <x:c r="B2" s="6" t="str">
        <x:v>Legende und Anwendungshinweise</x:v>
      </x:c>
      <x:c r="C2" s="6" t="str">
        <x:v>Legende und Anwendungshinweise</x:v>
      </x:c>
      <x:c r="D2" s="6" t="str">
        <x:v>Legende und Anwendungshinweise</x:v>
      </x:c>
    </x:row>
    <x:row r="3">
      <x:c r="A3" s="2"/>
      <x:c r="B3" s="2"/>
      <x:c r="C3" s="2"/>
      <x:c r="D3" s="2"/>
    </x:row>
    <x:row r="4" ht="24" customHeight="1">
      <x:c r="A4" s="12" t="str">
        <x:v>Empfehlungsgrade nach IEC 61508</x:v>
      </x:c>
      <x:c r="B4" s="12" t="str">
        <x:v>Empfehlungsgrade nach IEC 61508</x:v>
      </x:c>
      <x:c r="C4" s="12" t="str">
        <x:v>Empfehlungsgrade nach IEC 61508</x:v>
      </x:c>
      <x:c r="D4" s="12" t="str">
        <x:v>Empfehlungsgrade nach IEC 61508</x:v>
      </x:c>
    </x:row>
    <x:row r="5">
      <x:c r="A5" s="36" t="str">
        <x:v>Kennzeichen</x:v>
      </x:c>
      <x:c r="B5" s="36" t="str">
        <x:v>Bedeutung</x:v>
      </x:c>
      <x:c r="C5" s="36" t="str">
        <x:v>Anwendung im Review</x:v>
      </x:c>
      <x:c r="D5" s="36" t="str">
        <x:v>Geltungsbereich</x:v>
      </x:c>
    </x:row>
    <x:row r="6" ht="48" customHeight="1">
      <x:c r="A6" s="51" t="str">
        <x:v>++</x:v>
      </x:c>
      <x:c r="B6" s="36" t="str">
        <x:v>Für diesen SIL besonders empfohlen</x:v>
      </x:c>
      <x:c r="C6" s="36" t="str">
        <x:v>Bevorzugt anzuwenden; Nichtanwendung nachvollziehbar begründen.</x:v>
      </x:c>
      <x:c r="D6" s="36" t="str">
        <x:v>SIL 1 bis SIL 3 gemäß Tabelle A.9</x:v>
      </x:c>
    </x:row>
    <x:row r="7" ht="48" customHeight="1">
      <x:c r="A7" s="51" t="str">
        <x:v>+</x:v>
      </x:c>
      <x:c r="B7" s="36" t="str">
        <x:v>Für diesen SIL empfohlen</x:v>
      </x:c>
      <x:c r="C7" s="36" t="str">
        <x:v>Anwendung einplanen oder eine geeignete Alternative begründen.</x:v>
      </x:c>
      <x:c r="D7" s="36" t="str">
        <x:v>SIL 1 bis SIL 3 gemäß Tabelle A.9</x:v>
      </x:c>
    </x:row>
    <x:row r="8" ht="48" customHeight="1">
      <x:c r="A8" s="51" t="str">
        <x:v>O</x:v>
      </x:c>
      <x:c r="B8" s="36" t="str">
        <x:v>Keine Empfehlung für oder gegen die Anwendung</x:v>
      </x:c>
      <x:c r="C8" s="36" t="str">
        <x:v>Einsatz projektspezifisch bewerten und dokumentieren.</x:v>
      </x:c>
      <x:c r="D8" s="36" t="str">
        <x:v>SIL 1 bis SIL 3 gemäß Tabelle A.9</x:v>
      </x:c>
    </x:row>
    <x:row r="9" ht="48" customHeight="1">
      <x:c r="A9" s="51" t="str">
        <x:v>--</x:v>
      </x:c>
      <x:c r="B9" s="36" t="str">
        <x:v>Für diesen SIL nicht empfohlen</x:v>
      </x:c>
      <x:c r="C9" s="36" t="str">
        <x:v>Nur mit belastbarer Begründung und geeigneten zusätzlichen Maßnahmen einsetzen.</x:v>
      </x:c>
      <x:c r="D9" s="36" t="str">
        <x:v>SIL 1 bis SIL 3 gemäß Tabelle A.9</x:v>
      </x:c>
    </x:row>
    <x:row r="10">
      <x:c r="A10" s="2"/>
      <x:c r="B10" s="2"/>
      <x:c r="C10" s="2"/>
      <x:c r="D10" s="2"/>
    </x:row>
    <x:row r="11" ht="24" customHeight="1">
      <x:c r="A11" s="12" t="str">
        <x:v>Arbeitsweise</x:v>
      </x:c>
      <x:c r="B11" s="12" t="str">
        <x:v>Arbeitsweise</x:v>
      </x:c>
      <x:c r="C11" s="12" t="str">
        <x:v>Arbeitsweise</x:v>
      </x:c>
      <x:c r="D11" s="12" t="str">
        <x:v>Arbeitsweise</x:v>
      </x:c>
    </x:row>
    <x:row r="12">
      <x:c r="A12" s="36" t="str">
        <x:v>Schritt</x:v>
      </x:c>
      <x:c r="B12" s="36" t="str">
        <x:v>Vorgehen</x:v>
      </x:c>
      <x:c r="C12" s="36" t="str">
        <x:v>Dokumentation</x:v>
      </x:c>
      <x:c r="D12" s="36" t="str">
        <x:v>Hinweis</x:v>
      </x:c>
    </x:row>
    <x:row r="13" ht="52" customHeight="1">
      <x:c r="A13" s="36" t="str">
        <x:v>1</x:v>
      </x:c>
      <x:c r="B13" s="36" t="str">
        <x:v>Reviewdaten auf dem Blatt „Übersicht“ ausfüllen.</x:v>
      </x:c>
      <x:c r="C13" s="36" t="str">
        <x:v>Projekt, Dokument, SIL, Teilnehmer und Termin erfassen.</x:v>
      </x:c>
      <x:c r="D13" s="36" t="str">
        <x:v>Gelbe Zellen sind Eingabefelder.</x:v>
      </x:c>
    </x:row>
    <x:row r="14" ht="52" customHeight="1">
      <x:c r="A14" s="36" t="str">
        <x:v>2</x:v>
      </x:c>
      <x:c r="B14" s="36" t="str">
        <x:v>Eingabe- und Ausgabedokumente registrieren.</x:v>
      </x:c>
      <x:c r="C14" s="36" t="str">
        <x:v>Dokumentkennung, Version, Status, Verantwortlichen und Ablageort eintragen.</x:v>
      </x:c>
      <x:c r="D14" s="36" t="str">
        <x:v>Die IDs D01 bis D16 sind für Kapitel 7.2 vorbereitet.</x:v>
      </x:c>
    </x:row>
    <x:row r="15" ht="52" customHeight="1">
      <x:c r="A15" s="36" t="str">
        <x:v>3</x:v>
      </x:c>
      <x:c r="B15" s="36" t="str">
        <x:v>Jeden Prüfpunkt auf dem Blatt „Review 7.2“ bewerten.</x:v>
      </x:c>
      <x:c r="C15" s="36" t="str">
        <x:v>Prüfergebnis konkret formulieren und die zugehörigen Dokument-IDs prüfen.</x:v>
      </x:c>
      <x:c r="D15" s="36" t="str">
        <x:v>Status / OK über das Auswahlfeld setzen.</x:v>
      </x:c>
    </x:row>
    <x:row r="16" ht="52" customHeight="1">
      <x:c r="A16" s="36" t="str">
        <x:v>4</x:v>
      </x:c>
      <x:c r="B16" s="36" t="str">
        <x:v>Abweichungen oder Beschlüsse auf „Maßnahmen“ übernehmen.</x:v>
      </x:c>
      <x:c r="C16" s="36" t="str">
        <x:v>Prüfpunkt, Verantwortlichen, Fälligkeit und Status eintragen.</x:v>
      </x:c>
      <x:c r="D16" s="36" t="str">
        <x:v>IDs M-01 bis M-20 sind vorbereitet.</x:v>
      </x:c>
    </x:row>
    <x:row r="17" ht="52" customHeight="1">
      <x:c r="A17" s="36" t="str">
        <x:v>5</x:v>
      </x:c>
      <x:c r="B17" s="36" t="str">
        <x:v>Verfahren aus „Anhang A.1“ SIL-bezogen berücksichtigen.</x:v>
      </x:c>
      <x:c r="C17" s="36" t="str">
        <x:v>Erläuterungen und Normreferenzen als Prüfhilfe verwenden.</x:v>
      </x:c>
      <x:c r="D17" s="36" t="str">
        <x:v>SIL 4 ist nicht Bestandteil dieser Arbeitsmappe.</x:v>
      </x:c>
    </x:row>
    <x:row r="18" ht="52" customHeight="1">
      <x:c r="A18" s="36" t="str">
        <x:v>6</x:v>
      </x:c>
      <x:c r="B18" s="36" t="str">
        <x:v>Gesamtergebnis auf „Übersicht“ festlegen.</x:v>
      </x:c>
      <x:c r="C18" s="36" t="str">
        <x:v>Ergebnis, Begründung und Zusammenfassung eintragen.</x:v>
      </x:c>
      <x:c r="D18" s="36" t="str">
        <x:v>Fortschrittskennzahlen werden automatisch berechnet.</x:v>
      </x:c>
    </x:row>
    <x:row r="19" ht="52" customHeight="1">
      <x:c r="A19" s="36" t="str">
        <x:v>7</x:v>
      </x:c>
      <x:c r="B19" s="36" t="str">
        <x:v>Teilnehmer auf „Unterschriften“ dokumentieren.</x:v>
      </x:c>
      <x:c r="C19" s="36" t="str">
        <x:v>Name, Funktion, Datum und Bestätigung eintragen.</x:v>
      </x:c>
      <x:c r="D19" s="36" t="str">
        <x:v>Kann digital oder nach Ausdruck verwendet werden.</x:v>
      </x:c>
    </x:row>
    <x:row r="20">
      <x:c r="A20" s="2"/>
      <x:c r="B20" s="2"/>
      <x:c r="C20" s="2"/>
      <x:c r="D20" s="2"/>
    </x:row>
    <x:row r="21">
      <x:c r="A21" s="53" t="str">
        <x:v>Quelle: IEC 61508-3 Kap 7.2 Anforderungen Sicherheit Software - Reviewprotokoll.docx</x:v>
      </x:c>
      <x:c r="B21" s="53" t="str">
        <x:v>Quelle: IEC 61508-3 Kap 7.2 Anforderungen Sicherheit Software - Reviewprotokoll.docx</x:v>
      </x:c>
      <x:c r="C21" s="53" t="str">
        <x:v>Quelle: IEC 61508-3 Kap 7.2 Anforderungen Sicherheit Software - Reviewprotokoll.docx</x:v>
      </x:c>
      <x:c r="D21" s="53" t="str">
        <x:v>Quelle: IEC 61508-3 Kap 7.2 Anforderungen Sicherheit Software - Reviewprotokoll.docx</x:v>
      </x:c>
    </x:row>
    <x:row r="22">
      <x:c r="A22" s="2"/>
      <x:c r="B22" s="2"/>
      <x:c r="C22" s="2"/>
      <x:c r="D22" s="2"/>
    </x:row>
    <x:row r="23">
      <x:c r="A23" s="2"/>
      <x:c r="B23" s="2"/>
      <x:c r="C23" s="2"/>
      <x:c r="D23" s="2"/>
    </x:row>
    <x:row r="24">
      <x:c r="A24" s="2"/>
      <x:c r="B24" s="2"/>
      <x:c r="C24" s="2"/>
      <x:c r="D24" s="2"/>
    </x:row>
    <x:row r="25">
      <x:c r="A25" s="2"/>
      <x:c r="B25" s="2"/>
      <x:c r="C25" s="2"/>
      <x:c r="D25" s="2"/>
    </x:row>
    <x:row r="26">
      <x:c r="A26" s="2"/>
      <x:c r="B26" s="2"/>
      <x:c r="C26" s="2"/>
      <x:c r="D26" s="2"/>
    </x:row>
    <x:row r="27">
      <x:c r="A27" s="2"/>
      <x:c r="B27" s="2"/>
      <x:c r="C27" s="2"/>
      <x:c r="D27" s="2"/>
    </x:row>
    <x:row r="28">
      <x:c r="A28" s="2"/>
      <x:c r="B28" s="2"/>
      <x:c r="C28" s="2"/>
      <x:c r="D28" s="2"/>
    </x:row>
  </x:sheetData>
  <x:mergeCells>
    <x:mergeCell ref="A1:D2"/>
    <x:mergeCell ref="A4:D4"/>
    <x:mergeCell ref="A11:D11"/>
    <x:mergeCell ref="A21:D21"/>
  </x:mergeCells>
  <x:pageMargins left="0.7" right="0.7" top="0.75" bottom="0.75" header="0.3" footer="0.3"/>
  <x:tableParts count="2">
    <x:tablePart xmlns:r="http://schemas.openxmlformats.org/officeDocument/2006/relationships" r:id="R5c18d0c802f0446c"/>
    <x:tablePart xmlns:r="http://schemas.openxmlformats.org/officeDocument/2006/relationships" r:id="R157a9579d6e04f0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52" hidden="0" customWidth="1"/>
    <x:col min="2" max="2" width="18" hidden="0" customWidth="1"/>
    <x:col min="3" max="3" width="38" hidden="0" customWidth="1"/>
  </x:cols>
  <x:sheetData>
    <x:row r="1" ht="34" customHeight="1">
      <x:c r="A1" s="6" t="str">
        <x:v>Anhang Formblatt Unterschriften</x:v>
      </x:c>
      <x:c r="B1" s="6" t="str">
        <x:v>Anhang Formblatt Unterschriften</x:v>
      </x:c>
      <x:c r="C1" s="6" t="str">
        <x:v>Anhang Formblatt Unterschriften</x:v>
      </x:c>
    </x:row>
    <x:row r="2" ht="34" customHeight="1">
      <x:c r="A2" s="6" t="str">
        <x:v>Anhang Formblatt Unterschriften</x:v>
      </x:c>
      <x:c r="B2" s="6" t="str">
        <x:v>Anhang Formblatt Unterschriften</x:v>
      </x:c>
      <x:c r="C2" s="6" t="str">
        <x:v>Anhang Formblatt Unterschriften</x:v>
      </x:c>
    </x:row>
    <x:row r="3">
      <x:c r="A3" s="2"/>
      <x:c r="B3" s="2"/>
      <x:c r="C3" s="2"/>
    </x:row>
    <x:row r="4">
      <x:c r="A4" s="40" t="str">
        <x:v>Name, Vorname, Abteilung, Funktion</x:v>
      </x:c>
      <x:c r="B4" s="40" t="str">
        <x:v>Datum</x:v>
      </x:c>
      <x:c r="C4" s="40" t="str">
        <x:v>Unterschrift / Bestätigung</x:v>
      </x:c>
    </x:row>
    <x:row r="5" ht="48" customHeight="1">
      <x:c r="A5" s="19" t="str"/>
      <x:c r="B5" s="20" t="str"/>
      <x:c r="C5" s="19" t="str"/>
    </x:row>
    <x:row r="6" ht="48" customHeight="1">
      <x:c r="A6" s="19" t="str"/>
      <x:c r="B6" s="20" t="str"/>
      <x:c r="C6" s="19" t="str"/>
    </x:row>
    <x:row r="7" ht="48" customHeight="1">
      <x:c r="A7" s="19" t="str"/>
      <x:c r="B7" s="20" t="str"/>
      <x:c r="C7" s="19" t="str"/>
    </x:row>
    <x:row r="8" ht="48" customHeight="1">
      <x:c r="A8" s="19" t="str"/>
      <x:c r="B8" s="20" t="str"/>
      <x:c r="C8" s="19" t="str"/>
    </x:row>
    <x:row r="9" ht="48" customHeight="1">
      <x:c r="A9" s="19" t="str"/>
      <x:c r="B9" s="20" t="str"/>
      <x:c r="C9" s="19" t="str"/>
    </x:row>
    <x:row r="10" ht="48" customHeight="1">
      <x:c r="A10" s="19" t="str"/>
      <x:c r="B10" s="20" t="str"/>
      <x:c r="C10" s="19" t="str"/>
    </x:row>
    <x:row r="11" ht="48" customHeight="1">
      <x:c r="A11" s="19" t="str"/>
      <x:c r="B11" s="20" t="str"/>
      <x:c r="C11" s="19" t="str"/>
    </x:row>
    <x:row r="12">
      <x:c r="A12" s="2"/>
      <x:c r="B12" s="2"/>
      <x:c r="C12" s="2"/>
    </x:row>
    <x:row r="13">
      <x:c r="A13" s="2"/>
      <x:c r="B13" s="2"/>
      <x:c r="C13" s="2"/>
    </x:row>
    <x:row r="14">
      <x:c r="A14" s="2"/>
      <x:c r="B14" s="2"/>
      <x:c r="C14" s="2"/>
    </x:row>
    <x:row r="15">
      <x:c r="A15" s="2"/>
      <x:c r="B15" s="2"/>
      <x:c r="C15" s="2"/>
    </x:row>
    <x:row r="16">
      <x:c r="A16" s="2"/>
      <x:c r="B16" s="2"/>
      <x:c r="C16" s="2"/>
    </x:row>
  </x:sheetData>
  <x:mergeCells>
    <x:mergeCell ref="A1:C2"/>
  </x:mergeCells>
  <x:pageMargins left="0.7" right="0.7" top="0.75" bottom="0.75" header="0.3" footer="0.3"/>
  <x:tableParts count="1">
    <x:tablePart xmlns:r="http://schemas.openxmlformats.org/officeDocument/2006/relationships" r:id="R03aed2ba30ec452e"/>
  </x:tableParts>
</x:worksheet>
</file>