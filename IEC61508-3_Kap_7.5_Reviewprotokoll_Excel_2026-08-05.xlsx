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44a354fcd94fb1" /></Relationships>
</file>

<file path=xl/workbook.xml><?xml version="1.0" encoding="utf-8"?>
<x:workbook xmlns:x="http://schemas.openxmlformats.org/spreadsheetml/2006/main">
  <x:sheets>
    <x:sheet xmlns:r="http://schemas.openxmlformats.org/officeDocument/2006/relationships" name="Übersicht" sheetId="1" r:id="Rba54f45c9d4146e8"/>
    <x:sheet xmlns:r="http://schemas.openxmlformats.org/officeDocument/2006/relationships" name="Review 7.5" sheetId="2" r:id="R349ce2a4457c4eee"/>
    <x:sheet xmlns:r="http://schemas.openxmlformats.org/officeDocument/2006/relationships" name="Eingabe- &amp; Ausgabe" sheetId="3" r:id="Rb4729330f38046fd"/>
    <x:sheet xmlns:r="http://schemas.openxmlformats.org/officeDocument/2006/relationships" name="Maßnahmen" sheetId="4" r:id="Ra92144294a0b4ae6"/>
    <x:sheet xmlns:r="http://schemas.openxmlformats.org/officeDocument/2006/relationships" name="Anhang A.6" sheetId="5" r:id="R2c23603d23bf430b"/>
    <x:sheet xmlns:r="http://schemas.openxmlformats.org/officeDocument/2006/relationships" name="Legende &amp; Hinweise" sheetId="6" r:id="Rbbb21d81db5d48f6"/>
    <x:sheet xmlns:r="http://schemas.openxmlformats.org/officeDocument/2006/relationships" name="Unterschriften" sheetId="7" r:id="R241a078137a946e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
  </x:numFmts>
  <x:fonts count="11">
    <x:font>
      <x:sz val="11"/>
      <x:name val="Carlito"/>
    </x:font>
    <x:font>
      <x:sz val="10"/>
      <x:color rgb="FF222222"/>
      <x:name val="Aptos"/>
    </x:font>
    <x:font>
      <x:b/>
      <x:sz val="18"/>
      <x:color rgb="FFFFFFFF"/>
      <x:name val="Aptos Display"/>
    </x:font>
    <x:font>
      <x:i/>
      <x:sz val="10"/>
      <x:color rgb="FF17365D"/>
      <x:name val="Aptos"/>
    </x:font>
    <x:font>
      <x:b/>
      <x:sz val="11"/>
      <x:color rgb="FFFFFFFF"/>
      <x:name val="Aptos"/>
    </x:font>
    <x:font>
      <x:b/>
      <x:sz val="10"/>
      <x:color rgb="FF17365D"/>
      <x:name val="Aptos"/>
    </x:font>
    <x:font>
      <x:b/>
      <x:sz val="10"/>
      <x:color rgb="FFFFFFFF"/>
      <x:name val="Aptos"/>
    </x:font>
    <x:font>
      <x:b/>
      <x:sz val="14"/>
      <x:color rgb="FF17365D"/>
      <x:name val="Aptos"/>
    </x:font>
    <x:font>
      <x:b/>
      <x:sz val="11"/>
      <x:color rgb="FF17365D"/>
      <x:name val="Aptos"/>
    </x:font>
    <x:font>
      <x:b/>
      <x:sz val="12"/>
      <x:color rgb="FF17365D"/>
      <x:name val="Aptos"/>
    </x:font>
    <x:font>
      <x:i/>
      <x:sz val="9"/>
      <x:color rgb="FF595959"/>
      <x:name val="Aptos"/>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5B9BD5"/>
      </x:patternFill>
    </x:fill>
    <x:fill>
      <x:patternFill patternType="solid">
        <x:fgColor rgb="FFFFFFFF"/>
      </x:patternFill>
    </x:fill>
    <x:fill>
      <x:patternFill patternType="solid">
        <x:fgColor rgb="FFE7E6E6"/>
      </x:patternFill>
    </x:fill>
    <x:fill>
      <x:patternFill patternType="solid">
        <x:fgColor rgb="FFFFFFFF"/>
      </x:patternFill>
    </x:fill>
    <x:fill>
      <x:patternFill patternType="solid">
        <x:fgColor rgb="FFFFF2CC"/>
      </x:patternFill>
    </x:fill>
    <x:fill>
      <x:patternFill patternType="solid">
        <x:fgColor rgb="FFEAF3F8"/>
      </x:patternFill>
    </x:fill>
  </x:fills>
  <x:borders count="3">
    <x:border/>
    <x:border>
      <x:left style="thin">
        <x:color rgb="FFB4C6D7"/>
      </x:left>
      <x:right style="thin">
        <x:color rgb="FFB4C6D7"/>
      </x:right>
      <x:top style="thin">
        <x:color rgb="FFB4C6D7"/>
      </x:top>
      <x:bottom style="thin">
        <x:color rgb="FFB4C6D7"/>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6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left" vertical="top"/>
    </x:xf>
    <x:xf numFmtId="0" fontId="2" fillId="2" borderId="0" xfId="0" applyNumberFormat="1" applyFont="1" applyFill="1" applyBorder="1" applyAlignment="1">
      <x:alignment horizontal="left" vertical="center"/>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center"/>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center"/>
    </x:xf>
    <x:xf numFmtId="0" fontId="1" fillId="5" borderId="0" xfId="0" applyNumberFormat="1" applyFont="1" applyFill="1" applyBorder="1" applyAlignment="1">
      <x:alignment vertical="top"/>
    </x:xf>
    <x:xf numFmtId="0" fontId="5" fillId="5" borderId="0" xfId="0" applyNumberFormat="1" applyFont="1" applyFill="1" applyBorder="1" applyAlignment="1">
      <x:alignment vertical="top"/>
    </x:xf>
    <x:xf numFmtId="0" fontId="5" fillId="5" borderId="1" xfId="0" applyNumberFormat="1" applyFont="1" applyFill="1" applyBorder="1" applyAlignment="1">
      <x:alignment vertical="top"/>
    </x:xf>
    <x:xf numFmtId="0" fontId="5" fillId="5" borderId="1" xfId="0" applyNumberFormat="1" applyFont="1" applyFill="1" applyBorder="1" applyAlignment="1">
      <x:alignment vertical="center"/>
    </x:xf>
    <x:xf numFmtId="0" fontId="1" fillId="6" borderId="0" xfId="0" applyNumberFormat="1" applyFont="1" applyFill="1" applyBorder="1" applyAlignment="1">
      <x:alignment vertical="top"/>
    </x:xf>
    <x:xf numFmtId="0" fontId="1" fillId="6" borderId="1" xfId="0" applyNumberFormat="1" applyFont="1" applyFill="1" applyBorder="1" applyAlignment="1">
      <x:alignment vertical="top"/>
    </x:xf>
    <x:xf numFmtId="0" fontId="1" fillId="6" borderId="1" xfId="0" applyNumberFormat="1" applyFont="1" applyFill="1" applyBorder="1" applyAlignment="1">
      <x:alignment vertical="top" wrapText="1"/>
    </x:xf>
    <x:xf numFmtId="200" fontId="1" fillId="6" borderId="1" xfId="0" applyNumberFormat="1" applyFont="1" applyFill="1" applyBorder="1" applyAlignment="1">
      <x:alignment vertical="top" wrapText="1"/>
    </x:xf>
    <x:xf numFmtId="0" fontId="1" fillId="7" borderId="0" xfId="0" applyNumberFormat="1" applyFont="1" applyFill="1" applyBorder="1" applyAlignment="1">
      <x:alignment vertical="top"/>
    </x:xf>
    <x:xf numFmtId="0" fontId="6" fillId="7" borderId="0" xfId="0" applyNumberFormat="1" applyFont="1" applyFill="1" applyBorder="1" applyAlignment="1">
      <x:alignment vertical="top"/>
    </x:xf>
    <x:xf numFmtId="0" fontId="6" fillId="7" borderId="2" xfId="0" applyNumberFormat="1" applyFont="1" applyFill="1" applyBorder="1" applyAlignment="1">
      <x:alignment vertical="top"/>
    </x:xf>
    <x:xf numFmtId="0" fontId="6" fillId="7" borderId="2" xfId="0" applyNumberFormat="1" applyFont="1" applyFill="1" applyBorder="1" applyAlignment="1">
      <x:alignment horizontal="center" vertical="top"/>
    </x:xf>
    <x:xf numFmtId="0" fontId="6" fillId="7" borderId="2" xfId="0" applyNumberFormat="1" applyFont="1" applyFill="1" applyBorder="1" applyAlignment="1">
      <x:alignment horizontal="center" vertical="center"/>
    </x:xf>
    <x:xf numFmtId="0" fontId="7" fillId="5" borderId="0" xfId="0" applyNumberFormat="1" applyFont="1" applyFill="1" applyBorder="1" applyAlignment="1">
      <x:alignment vertical="top"/>
    </x:xf>
    <x:xf numFmtId="0" fontId="7" fillId="5" borderId="1" xfId="0" applyNumberFormat="1" applyFont="1" applyFill="1" applyBorder="1" applyAlignment="1">
      <x:alignment vertical="top"/>
    </x:xf>
    <x:xf numFmtId="0" fontId="7" fillId="5" borderId="1" xfId="0" applyNumberFormat="1" applyFont="1" applyFill="1" applyBorder="1" applyAlignment="1">
      <x:alignment horizontal="center" vertical="top"/>
    </x:xf>
    <x:xf numFmtId="0" fontId="7" fillId="5" borderId="1" xfId="0" applyNumberFormat="1" applyFont="1" applyFill="1" applyBorder="1" applyAlignment="1">
      <x:alignment horizontal="center" vertical="center"/>
    </x:xf>
    <x:xf numFmtId="201" fontId="7" fillId="5" borderId="1" xfId="0" applyNumberFormat="1" applyFont="1" applyFill="1" applyBorder="1" applyAlignment="1">
      <x:alignment horizontal="center" vertical="center"/>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4" fillId="4" borderId="2" xfId="0" applyNumberFormat="1" applyFont="1" applyFill="1" applyBorder="1" applyAlignment="1">
      <x:alignment vertical="top"/>
    </x:xf>
    <x:xf numFmtId="0" fontId="4" fillId="4" borderId="2" xfId="0" applyNumberFormat="1" applyFont="1" applyFill="1" applyBorder="1" applyAlignment="1">
      <x:alignment vertical="center"/>
    </x:xf>
    <x:xf numFmtId="0" fontId="1" fillId="8"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8" borderId="1"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8" fillId="5" borderId="0" xfId="0" applyNumberFormat="1" applyFont="1" applyFill="1" applyBorder="1" applyAlignment="1">
      <x:alignment vertical="top"/>
    </x:xf>
    <x:xf numFmtId="0" fontId="8" fillId="5" borderId="1" xfId="0" applyNumberFormat="1" applyFont="1" applyFill="1" applyBorder="1" applyAlignment="1">
      <x:alignment vertical="top"/>
    </x:xf>
    <x:xf numFmtId="0" fontId="8" fillId="5" borderId="1" xfId="0" applyNumberFormat="1" applyFont="1" applyFill="1" applyBorder="1" applyAlignment="1">
      <x:alignment horizontal="center" vertical="top"/>
    </x:xf>
    <x:xf numFmtId="0" fontId="8" fillId="5" borderId="1" xfId="0" applyNumberFormat="1" applyFont="1" applyFill="1" applyBorder="1" applyAlignment="1">
      <x:alignment horizontal="center" vertical="center"/>
    </x:xf>
    <x:xf numFmtId="0" fontId="1" fillId="8"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9" fillId="0" borderId="0" xfId="0" applyNumberFormat="1" applyFont="1" applyFill="1" applyBorder="1" applyAlignment="1">
      <x:alignment horizontal="center" vertical="top" wrapText="1"/>
    </x:xf>
    <x:xf numFmtId="0" fontId="1" fillId="9" borderId="0" xfId="0" applyNumberFormat="1" applyFont="1" applyFill="1" applyBorder="1" applyAlignment="1">
      <x:alignment vertical="top"/>
    </x:xf>
    <x:xf numFmtId="0" fontId="10" fillId="9" borderId="0" xfId="0" applyNumberFormat="1" applyFont="1" applyFill="1" applyBorder="1" applyAlignment="1">
      <x:alignment vertical="top"/>
    </x:xf>
    <x:xf numFmtId="0" fontId="1" fillId="10" borderId="1" xfId="0" applyNumberFormat="1" applyFont="1" applyFill="1" applyBorder="1" applyAlignment="1">
      <x:alignment horizontal="center" vertical="top" wrapText="1"/>
    </x:xf>
    <x:xf numFmtId="0" fontId="1" fillId="10" borderId="1" xfId="0" applyNumberFormat="1" applyFont="1" applyFill="1" applyBorder="1" applyAlignment="1">
      <x:alignment vertical="top" wrapText="1"/>
    </x:xf>
    <x:xf numFmtId="0" fontId="1" fillId="11" borderId="1" xfId="0" applyNumberFormat="1" applyFont="1" applyFill="1" applyBorder="1" applyAlignment="1">
      <x:alignment vertical="top" wrapText="1"/>
    </x:xf>
    <x:xf numFmtId="0" fontId="1" fillId="12" borderId="1" xfId="0" applyNumberFormat="1" applyFont="1" applyFill="1" applyBorder="1" applyAlignment="1">
      <x:alignment vertical="top" wrapText="1"/>
    </x:xf>
    <x:xf numFmtId="0" fontId="1" fillId="11" borderId="1" xfId="0" applyNumberFormat="1" applyFont="1" applyFill="1" applyBorder="1" applyAlignment="1">
      <x:alignment horizontal="center" vertical="top" wrapText="1"/>
    </x:xf>
    <x:xf numFmtId="0" fontId="1" fillId="10" borderId="1" xfId="0" applyNumberFormat="1" applyFont="1" applyFill="1" applyBorder="1" applyAlignment="1">
      <x:alignment horizontal="left" vertical="top" wrapText="1"/>
    </x:xf>
  </x:cellXfs>
  <x:cellStyles count="1">
    <x:cellStyle name="Normal" xfId="0"/>
  </x:cellStyles>
  <x:dxfs count="16">
    <x:dxf>
      <x:font>
        <x:b/>
        <x:color rgb="FF215E21"/>
      </x:font>
      <x:fill>
        <x:patternFill>
          <x:bgColor rgb="FFC6E0B4"/>
        </x:patternFill>
      </x:fill>
    </x:dxf>
    <x:dxf>
      <x:font>
        <x:b/>
        <x:color rgb="FF9C0006"/>
      </x:font>
      <x:fill>
        <x:patternFill>
          <x:bgColor rgb="FFF4CCCC"/>
        </x:patternFill>
      </x:fill>
    </x:dxf>
    <x:dxf>
      <x:font>
        <x:color rgb="FF595959"/>
      </x:font>
      <x:fill>
        <x:patternFill>
          <x:bgColor rgb="FFE7E6E6"/>
        </x:patternFill>
      </x:fill>
    </x:dxf>
    <x:dxf>
      <x:font>
        <x:color rgb="FF17365D"/>
      </x:font>
      <x:fill>
        <x:patternFill>
          <x:bgColor rgb="FFD9EAF7"/>
        </x:patternFill>
      </x:fill>
    </x:dxf>
    <x:dxf>
      <x:font>
        <x:b/>
        <x:color rgb="FF17365D"/>
      </x:font>
      <x:fill>
        <x:patternFill>
          <x:bgColor rgb="FFD9EAF7"/>
        </x:patternFill>
      </x:fill>
    </x:dxf>
    <x:dxf>
      <x:font>
        <x:b/>
        <x:color rgb="FF215E21"/>
      </x:font>
      <x:fill>
        <x:patternFill>
          <x:bgColor rgb="FFC6E0B4"/>
        </x:patternFill>
      </x:fill>
    </x:dxf>
    <x:dxf>
      <x:font>
        <x:b/>
        <x:color rgb="FF5F497A"/>
      </x:font>
      <x:fill>
        <x:patternFill>
          <x:bgColor rgb="FFE4DFEC"/>
        </x:patternFill>
      </x:fill>
    </x:dxf>
    <x:dxf>
      <x:font>
        <x:b/>
        <x:color rgb="FF17365D"/>
      </x:font>
      <x:fill>
        <x:patternFill>
          <x:bgColor rgb="FFD9EAF7"/>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patternType="solid">
          <x:bgColor rgb="FFC6E0B4"/>
        </x:patternFill>
      </x:fill>
    </x:dxf>
    <x:dxf>
      <x:font>
        <x:b/>
        <x:color rgb="FF9C0006"/>
      </x:font>
      <x:fill>
        <x:patternFill patternType="solid">
          <x:bgColor rgb="FFF4CCCC"/>
        </x:patternFill>
      </x:fill>
    </x:dxf>
    <x:dxf>
      <x:font>
        <x:color rgb="FF595959"/>
      </x:font>
      <x:fill>
        <x:patternFill patternType="solid">
          <x:bgColor rgb="FFE7E6E6"/>
        </x:patternFill>
      </x:fill>
    </x:dxf>
    <x:dxf>
      <x:font>
        <x:color rgb="FF17365D"/>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1b068a358f4f3e" /><Relationship Type="http://schemas.openxmlformats.org/officeDocument/2006/relationships/theme" Target="/xl/theme/theme1.xml" Id="R1adfe6b9abda489a" /><Relationship Type="http://schemas.openxmlformats.org/officeDocument/2006/relationships/sharedStrings" Target="/xl/sharedStrings.xml" Id="Ra9194394764d4e26" /><Relationship Type="http://schemas.openxmlformats.org/officeDocument/2006/relationships/worksheet" Target="/xl/worksheets/sheet1.xml" Id="Rba54f45c9d4146e8" /><Relationship Type="http://schemas.openxmlformats.org/officeDocument/2006/relationships/worksheet" Target="/xl/worksheets/sheet2.xml" Id="R349ce2a4457c4eee" /><Relationship Type="http://schemas.openxmlformats.org/officeDocument/2006/relationships/worksheet" Target="/xl/worksheets/sheet3.xml" Id="Rb4729330f38046fd" /><Relationship Type="http://schemas.openxmlformats.org/officeDocument/2006/relationships/worksheet" Target="/xl/worksheets/sheet4.xml" Id="Ra92144294a0b4ae6" /><Relationship Type="http://schemas.openxmlformats.org/officeDocument/2006/relationships/worksheet" Target="/xl/worksheets/sheet5.xml" Id="R2c23603d23bf430b" /><Relationship Type="http://schemas.openxmlformats.org/officeDocument/2006/relationships/worksheet" Target="/xl/worksheets/sheet6.xml" Id="Rbbb21d81db5d48f6" /><Relationship Type="http://schemas.openxmlformats.org/officeDocument/2006/relationships/worksheet" Target="/xl/worksheets/sheet7.xml" Id="R241a078137a946e7" /></Relationships>
</file>

<file path=xl/tables/table1.xml><?xml version="1.0" encoding="utf-8"?>
<x:table xmlns:x="http://schemas.openxmlformats.org/spreadsheetml/2006/main" id="8" name="Reviewpunkte_7_5" displayName="Reviewpunkte_7_5" ref="A7:G17" headerRowCount="1" totalsRowCount="0" totalsRowShown="0">
  <x:autoFilter ref="A7:G17"/>
  <x:tableColumns count="7">
    <x:tableColumn id="1" name="Nr."/>
    <x:tableColumn id="2" name="Normkapitel"/>
    <x:tableColumn id="3" name="Prüffrage / Prüfkriterium"/>
    <x:tableColumn id="4" name="Prüfergebnis"/>
    <x:tableColumn id="5" name="Kommentar / Nachweis"/>
    <x:tableColumn id="6" name="E/A-Dokumente (IDs)"/>
    <x:tableColumn id="7" name="Status / OK"/>
  </x:tableColumns>
  <x:tableStyleInfo name="TableStyleMedium2" showFirstColumn="0" showLastColumn="0" showRowStripes="1" showColumnStripes="0"/>
</x:table>
</file>

<file path=xl/tables/table2.xml><?xml version="1.0" encoding="utf-8"?>
<x:table xmlns:x="http://schemas.openxmlformats.org/spreadsheetml/2006/main" id="9" name="Dokumentenregister_7_5" displayName="Dokumentenregister_7_5" ref="A7:K22" headerRowCount="1" totalsRowCount="0" totalsRowShown="0">
  <x:autoFilter ref="A7:K22"/>
  <x:tableColumns count="11">
    <x:tableColumn id="1" name="ID"/>
    <x:tableColumn id="2" name="Art"/>
    <x:tableColumn id="3" name="Normbegriff / Dokument"/>
    <x:tableColumn id="4" name="Funktion / erwarteter Inhalt"/>
    <x:tableColumn id="5" name="Bezug Prüfpunkt"/>
    <x:tableColumn id="6" name="Normreferenz"/>
    <x:tableColumn id="7" name="Dokumentkennung / Referenz"/>
    <x:tableColumn id="8" name="Version / Index"/>
    <x:tableColumn id="9" name="Status"/>
    <x:tableColumn id="10" name="Verantwortlich"/>
    <x:tableColumn id="11" name="Ablageort / Link"/>
  </x:tableColumns>
  <x:tableStyleInfo name="TableStyleMedium2" showFirstColumn="0" showLastColumn="0" showRowStripes="1" showColumnStripes="0"/>
</x:table>
</file>

<file path=xl/tables/table3.xml><?xml version="1.0" encoding="utf-8"?>
<x:table xmlns:x="http://schemas.openxmlformats.org/spreadsheetml/2006/main" id="3" name="ReviewMassnahmen" displayName="ReviewMassnahmen" ref="A5:G25" headerRowCount="1" totalsRowCount="0" totalsRowShown="0">
  <x:autoFilter ref="A5:G25"/>
  <x:tableColumns count="7">
    <x:tableColumn id="1" name="ID"/>
    <x:tableColumn id="2" name="Typ"/>
    <x:tableColumn id="3" name="Review-Ergebnis / Maßnahme"/>
    <x:tableColumn id="4" name="Bezug Prüfpunkt"/>
    <x:tableColumn id="5" name="Verantwortlich"/>
    <x:tableColumn id="6" name="Fällig am"/>
    <x:tableColumn id="7" name="Status"/>
  </x:tableColumns>
  <x:tableStyleInfo name="TableStyleMedium2" showFirstColumn="0" showLastColumn="0" showRowStripes="1" showColumnStripes="0"/>
</x:table>
</file>

<file path=xl/tables/table4.xml><?xml version="1.0" encoding="utf-8"?>
<x:table xmlns:x="http://schemas.openxmlformats.org/spreadsheetml/2006/main" id="10" name="Anhang_7_5" displayName="Anhang_7_5" ref="A5:H8" headerRowCount="1" totalsRowCount="0" totalsRowShown="0">
  <x:autoFilter ref="A5:H8"/>
  <x:tableColumns count="8">
    <x:tableColumn id="1" name="Nr."/>
    <x:tableColumn id="2" name="Verfahren / Maßnahme"/>
    <x:tableColumn id="3" name="Siehe"/>
    <x:tableColumn id="4" name="SIL 1"/>
    <x:tableColumn id="5" name="SIL 2"/>
    <x:tableColumn id="6" name="SIL 3"/>
    <x:tableColumn id="7" name="Erläuterung"/>
    <x:tableColumn id="8" name="Normreferenz"/>
  </x:tableColumns>
  <x:tableStyleInfo name="TableStyleMedium2" showFirstColumn="0" showLastColumn="0" showRowStripes="1" showColumnStripes="0"/>
</x:table>
</file>

<file path=xl/tables/table5.xml><?xml version="1.0" encoding="utf-8"?>
<x:table xmlns:x="http://schemas.openxmlformats.org/spreadsheetml/2006/main" id="5" name="Empfehlungslegende" displayName="Empfehlungslegende" ref="A5:D9" headerRowCount="1" totalsRowCount="0" totalsRowShown="0">
  <x:tableColumns count="4">
    <x:tableColumn id="1" name="Kennzeichen"/>
    <x:tableColumn id="2" name="Bedeutung"/>
    <x:tableColumn id="3" name="Anwendung im Review"/>
    <x:tableColumn id="4" name="Geltungsbereich"/>
  </x:tableColumns>
  <x:tableStyleInfo name="TableStyleMedium2" showFirstColumn="0" showLastColumn="0" showRowStripes="1" showColumnStripes="0"/>
</x:table>
</file>

<file path=xl/tables/table6.xml><?xml version="1.0" encoding="utf-8"?>
<x:table xmlns:x="http://schemas.openxmlformats.org/spreadsheetml/2006/main" id="6" name="Arbeitsweise" displayName="Arbeitsweise" ref="A12:D19" headerRowCount="1" totalsRowCount="0" totalsRowShown="0">
  <x:tableColumns count="4">
    <x:tableColumn id="1" name="Schritt"/>
    <x:tableColumn id="2" name="Vorgehen"/>
    <x:tableColumn id="3" name="Dokumentation"/>
    <x:tableColumn id="4" name="Hinweis"/>
  </x:tableColumns>
  <x:tableStyleInfo name="TableStyleMedium2" showFirstColumn="0" showLastColumn="0" showRowStripes="1" showColumnStripes="0"/>
</x:table>
</file>

<file path=xl/tables/table7.xml><?xml version="1.0" encoding="utf-8"?>
<x:table xmlns:x="http://schemas.openxmlformats.org/spreadsheetml/2006/main" id="7" name="ReviewUnterschriften" displayName="ReviewUnterschriften" ref="A4:C11" headerRowCount="1" totalsRowCount="0" totalsRowShown="0">
  <x:tableColumns count="3">
    <x:tableColumn id="1" name="Name, Vorname, Abteilung, Funktion"/>
    <x:tableColumn id="2" name="Datum"/>
    <x:tableColumn id="3" name="Unterschrift / Bestätig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8fe22b22744a29" /></Relationships>
</file>

<file path=xl/worksheets/_rels/sheet3.xml.rels>&#65279;<?xml version="1.0" encoding="utf-8"?><Relationships xmlns="http://schemas.openxmlformats.org/package/2006/relationships"><Relationship Type="http://schemas.openxmlformats.org/officeDocument/2006/relationships/table" Target="/xl/tables/table2.xml" Id="Rd8c0f710aff94945" /></Relationships>
</file>

<file path=xl/worksheets/_rels/sheet4.xml.rels>&#65279;<?xml version="1.0" encoding="utf-8"?><Relationships xmlns="http://schemas.openxmlformats.org/package/2006/relationships"><Relationship Type="http://schemas.openxmlformats.org/officeDocument/2006/relationships/table" Target="/xl/tables/table3.xml" Id="R7fa2b7c347094961" /></Relationships>
</file>

<file path=xl/worksheets/_rels/sheet5.xml.rels>&#65279;<?xml version="1.0" encoding="utf-8"?><Relationships xmlns="http://schemas.openxmlformats.org/package/2006/relationships"><Relationship Type="http://schemas.openxmlformats.org/officeDocument/2006/relationships/table" Target="/xl/tables/table4.xml" Id="R652db59014ce49f0" /></Relationships>
</file>

<file path=xl/worksheets/_rels/sheet6.xml.rels>&#65279;<?xml version="1.0" encoding="utf-8"?><Relationships xmlns="http://schemas.openxmlformats.org/package/2006/relationships"><Relationship Type="http://schemas.openxmlformats.org/officeDocument/2006/relationships/table" Target="/xl/tables/table5.xml" Id="Rab7926a6044241d0" /><Relationship Type="http://schemas.openxmlformats.org/officeDocument/2006/relationships/table" Target="/xl/tables/table6.xml" Id="R71830bdf7ce94b64" /></Relationships>
</file>

<file path=xl/worksheets/_rels/sheet7.xml.rels>&#65279;<?xml version="1.0" encoding="utf-8"?><Relationships xmlns="http://schemas.openxmlformats.org/package/2006/relationships"><Relationship Type="http://schemas.openxmlformats.org/officeDocument/2006/relationships/table" Target="/xl/tables/table7.xml" Id="R4b8503ae5682423c"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9" hidden="0" customWidth="1"/>
    <x:col min="6" max="6" width="14" hidden="0" customWidth="1"/>
    <x:col min="7" max="7" width="14" hidden="0" customWidth="1"/>
    <x:col min="8" max="8" width="14" hidden="0" customWidth="1"/>
  </x:cols>
  <x:sheetData>
    <x:row r="1" ht="34" customHeight="1">
      <x:c r="A1" s="6" t="str">
        <x:v>Reviewprotokoll IEC 61508-3 – Kapitel 7.5 Integration der programmierbaren Elektronik (Hardware und Software)</x:v>
      </x:c>
      <x:c r="B1" s="6" t="str">
        <x:v>Reviewprotokoll IEC 61508-3 – Kapitel 7.5 Integration der programmierbaren Elektronik (Hardware und Software)</x:v>
      </x:c>
      <x:c r="C1" s="6" t="str">
        <x:v>Reviewprotokoll IEC 61508-3 – Kapitel 7.5 Integration der programmierbaren Elektronik (Hardware und Software)</x:v>
      </x:c>
      <x:c r="D1" s="6" t="str">
        <x:v>Reviewprotokoll IEC 61508-3 – Kapitel 7.5 Integration der programmierbaren Elektronik (Hardware und Software)</x:v>
      </x:c>
      <x:c r="E1" s="6" t="str">
        <x:v>Reviewprotokoll IEC 61508-3 – Kapitel 7.5 Integration der programmierbaren Elektronik (Hardware und Software)</x:v>
      </x:c>
      <x:c r="F1" s="6" t="str">
        <x:v>Reviewprotokoll IEC 61508-3 – Kapitel 7.5 Integration der programmierbaren Elektronik (Hardware und Software)</x:v>
      </x:c>
      <x:c r="G1" s="6" t="str">
        <x:v>Reviewprotokoll IEC 61508-3 – Kapitel 7.5 Integration der programmierbaren Elektronik (Hardware und Software)</x:v>
      </x:c>
      <x:c r="H1" s="6" t="str">
        <x:v>Reviewprotokoll IEC 61508-3 – Kapitel 7.5 Integration der programmierbaren Elektronik (Hardware und Software)</x:v>
      </x:c>
    </x:row>
    <x:row r="2" ht="34" customHeight="1">
      <x:c r="A2" s="6" t="str">
        <x:v>Reviewprotokoll IEC 61508-3 – Kapitel 7.5 Integration der programmierbaren Elektronik (Hardware und Software)</x:v>
      </x:c>
      <x:c r="B2" s="6" t="str">
        <x:v>Reviewprotokoll IEC 61508-3 – Kapitel 7.5 Integration der programmierbaren Elektronik (Hardware und Software)</x:v>
      </x:c>
      <x:c r="C2" s="6" t="str">
        <x:v>Reviewprotokoll IEC 61508-3 – Kapitel 7.5 Integration der programmierbaren Elektronik (Hardware und Software)</x:v>
      </x:c>
      <x:c r="D2" s="6" t="str">
        <x:v>Reviewprotokoll IEC 61508-3 – Kapitel 7.5 Integration der programmierbaren Elektronik (Hardware und Software)</x:v>
      </x:c>
      <x:c r="E2" s="6" t="str">
        <x:v>Reviewprotokoll IEC 61508-3 – Kapitel 7.5 Integration der programmierbaren Elektronik (Hardware und Software)</x:v>
      </x:c>
      <x:c r="F2" s="6" t="str">
        <x:v>Reviewprotokoll IEC 61508-3 – Kapitel 7.5 Integration der programmierbaren Elektronik (Hardware und Software)</x:v>
      </x:c>
      <x:c r="G2" s="6" t="str">
        <x:v>Reviewprotokoll IEC 61508-3 – Kapitel 7.5 Integration der programmierbaren Elektronik (Hardware und Software)</x:v>
      </x:c>
      <x:c r="H2" s="6" t="str">
        <x:v>Reviewprotokoll IEC 61508-3 – Kapitel 7.5 Integration der programmierbaren Elektronik (Hardware und Software)</x:v>
      </x:c>
    </x:row>
    <x:row r="3">
      <x:c r="A3" s="9" t="str">
        <x:v>Strukturierte Arbeitsmappe für SIL 1 bis SIL 3 · Eingabefelder sind gelb markiert</x:v>
      </x:c>
      <x:c r="B3" s="9"/>
      <x:c r="C3" s="9"/>
      <x:c r="D3" s="9"/>
      <x:c r="E3" s="9"/>
      <x:c r="F3" s="9"/>
      <x:c r="G3" s="9"/>
      <x:c r="H3" s="9"/>
    </x:row>
    <x:row r="4">
      <x:c r="A4" s="2"/>
      <x:c r="B4" s="2"/>
      <x:c r="C4" s="2"/>
      <x:c r="D4" s="2"/>
      <x:c r="E4" s="2"/>
      <x:c r="F4" s="2"/>
      <x:c r="G4" s="2"/>
      <x:c r="H4" s="2"/>
    </x:row>
    <x:row r="5" ht="24" customHeight="1">
      <x:c r="A5" s="12" t="str">
        <x:v>Reviewdaten</x:v>
      </x:c>
      <x:c r="B5" s="12" t="str">
        <x:v>Reviewdaten</x:v>
      </x:c>
      <x:c r="C5" s="12" t="str">
        <x:v>Reviewdaten</x:v>
      </x:c>
      <x:c r="D5" s="12" t="str">
        <x:v>Reviewdaten</x:v>
      </x:c>
      <x:c r="E5" s="12" t="str">
        <x:v>Reviewdaten</x:v>
      </x:c>
      <x:c r="F5" s="12" t="str">
        <x:v>Reviewdaten</x:v>
      </x:c>
      <x:c r="G5" s="12" t="str">
        <x:v>Reviewdaten</x:v>
      </x:c>
      <x:c r="H5" s="12" t="str">
        <x:v>Reviewdaten</x:v>
      </x:c>
    </x:row>
    <x:row r="6">
      <x:c r="A6" s="16" t="str">
        <x:v>Projekt / Teilprojekt</x:v>
      </x:c>
      <x:c r="B6" s="19" t="str"/>
      <x:c r="C6" s="19" t="str"/>
      <x:c r="D6" s="19" t="str"/>
      <x:c r="E6" s="16" t="str">
        <x:v>Review-Gegenstand</x:v>
      </x:c>
      <x:c r="F6" s="19" t="str"/>
      <x:c r="G6" s="19" t="str"/>
      <x:c r="H6" s="19" t="str"/>
    </x:row>
    <x:row r="7">
      <x:c r="A7" s="16" t="str">
        <x:v>Dokument / Referenz</x:v>
      </x:c>
      <x:c r="B7" s="19" t="str"/>
      <x:c r="C7" s="19" t="str"/>
      <x:c r="D7" s="19" t="str"/>
      <x:c r="E7" s="16" t="str">
        <x:v>Index</x:v>
      </x:c>
      <x:c r="F7" s="19" t="str"/>
      <x:c r="G7" s="19" t="str"/>
      <x:c r="H7" s="19" t="str"/>
    </x:row>
    <x:row r="8">
      <x:c r="A8" s="16" t="str">
        <x:v>SIL</x:v>
      </x:c>
      <x:c r="B8" s="19" t="str"/>
      <x:c r="C8" s="19" t="str"/>
      <x:c r="D8" s="19" t="str"/>
      <x:c r="E8" s="16" t="str">
        <x:v>Checkliste</x:v>
      </x:c>
      <x:c r="F8" s="19" t="str">
        <x:v>IEC 61508-3: Kapitel 7.5 Integration der programmierbaren Elektronik (Hardware und Software)</x:v>
      </x:c>
      <x:c r="G8" s="19" t="str">
        <x:v>IEC 61508-3: Kapitel 7.5 Integration der programmierbaren Elektronik (Hardware und Software)</x:v>
      </x:c>
      <x:c r="H8" s="19" t="str">
        <x:v>IEC 61508-3: Kapitel 7.5 Integration der programmierbaren Elektronik (Hardware und Software)</x:v>
      </x:c>
    </x:row>
    <x:row r="9">
      <x:c r="A9" s="16" t="str">
        <x:v>Ort</x:v>
      </x:c>
      <x:c r="B9" s="19" t="str"/>
      <x:c r="C9" s="19" t="str"/>
      <x:c r="D9" s="19" t="str"/>
      <x:c r="E9" s="16" t="str">
        <x:v>Datum / Zeitraum</x:v>
      </x:c>
      <x:c r="F9" s="20" t="str"/>
      <x:c r="G9" s="20" t="str"/>
      <x:c r="H9" s="20" t="str"/>
    </x:row>
    <x:row r="10">
      <x:c r="A10" s="16" t="str">
        <x:v>Reviewleitung</x:v>
      </x:c>
      <x:c r="B10" s="19" t="str"/>
      <x:c r="C10" s="19" t="str"/>
      <x:c r="D10" s="19" t="str"/>
      <x:c r="E10" s="16" t="str">
        <x:v>Protokollführung</x:v>
      </x:c>
      <x:c r="F10" s="19" t="str"/>
      <x:c r="G10" s="19" t="str"/>
      <x:c r="H10" s="19" t="str"/>
    </x:row>
    <x:row r="11">
      <x:c r="A11" s="2"/>
      <x:c r="B11" s="2"/>
      <x:c r="C11" s="2"/>
      <x:c r="D11" s="2"/>
      <x:c r="E11" s="2"/>
      <x:c r="F11" s="2"/>
      <x:c r="G11" s="2"/>
      <x:c r="H11" s="2"/>
    </x:row>
    <x:row r="12" ht="24" customHeight="1">
      <x:c r="A12" s="12" t="str">
        <x:v>Teilnehmer</x:v>
      </x:c>
      <x:c r="B12" s="12" t="str">
        <x:v>Teilnehmer</x:v>
      </x:c>
      <x:c r="C12" s="12" t="str">
        <x:v>Teilnehmer</x:v>
      </x:c>
      <x:c r="D12" s="12" t="str">
        <x:v>Teilnehmer</x:v>
      </x:c>
      <x:c r="E12" s="12" t="str">
        <x:v>Teilnehmer</x:v>
      </x:c>
      <x:c r="F12" s="12" t="str">
        <x:v>Teilnehmer</x:v>
      </x:c>
      <x:c r="G12" s="12" t="str">
        <x:v>Teilnehmer</x:v>
      </x:c>
      <x:c r="H12" s="12" t="str">
        <x:v>Teilnehmer</x:v>
      </x:c>
    </x:row>
    <x:row r="13">
      <x:c r="A13" s="16" t="str">
        <x:v>Teilnehmer 1</x:v>
      </x:c>
      <x:c r="B13" s="19" t="str"/>
      <x:c r="C13" s="19" t="str"/>
      <x:c r="D13" s="19" t="str"/>
      <x:c r="E13" s="19" t="str"/>
      <x:c r="F13" s="19" t="str"/>
      <x:c r="G13" s="19" t="str"/>
      <x:c r="H13" s="19" t="str"/>
    </x:row>
    <x:row r="14">
      <x:c r="A14" s="16" t="str">
        <x:v>Teilnehmer 2</x:v>
      </x:c>
      <x:c r="B14" s="19" t="str"/>
      <x:c r="C14" s="19" t="str"/>
      <x:c r="D14" s="19" t="str"/>
      <x:c r="E14" s="19" t="str"/>
      <x:c r="F14" s="19" t="str"/>
      <x:c r="G14" s="19" t="str"/>
      <x:c r="H14" s="19" t="str"/>
    </x:row>
    <x:row r="15">
      <x:c r="A15" s="16" t="str">
        <x:v>Teilnehmer 3</x:v>
      </x:c>
      <x:c r="B15" s="19" t="str"/>
      <x:c r="C15" s="19" t="str"/>
      <x:c r="D15" s="19" t="str"/>
      <x:c r="E15" s="19" t="str"/>
      <x:c r="F15" s="19" t="str"/>
      <x:c r="G15" s="19" t="str"/>
      <x:c r="H15" s="19" t="str"/>
    </x:row>
    <x:row r="16">
      <x:c r="A16" s="16" t="str">
        <x:v>Teilnehmer 4</x:v>
      </x:c>
      <x:c r="B16" s="19" t="str"/>
      <x:c r="C16" s="19" t="str"/>
      <x:c r="D16" s="19" t="str"/>
      <x:c r="E16" s="19" t="str"/>
      <x:c r="F16" s="19" t="str"/>
      <x:c r="G16" s="19" t="str"/>
      <x:c r="H16" s="19" t="str"/>
    </x:row>
    <x:row r="17">
      <x:c r="A17" s="2"/>
      <x:c r="B17" s="2"/>
      <x:c r="C17" s="2"/>
      <x:c r="D17" s="2"/>
      <x:c r="E17" s="2"/>
      <x:c r="F17" s="2"/>
      <x:c r="G17" s="2"/>
      <x:c r="H17" s="2"/>
    </x:row>
    <x:row r="18" ht="24" customHeight="1">
      <x:c r="A18" s="12" t="str">
        <x:v>Fortschritt und Review-Ergebnis</x:v>
      </x:c>
      <x:c r="B18" s="12" t="str">
        <x:v>Fortschritt und Review-Ergebnis</x:v>
      </x:c>
      <x:c r="C18" s="12" t="str">
        <x:v>Fortschritt und Review-Ergebnis</x:v>
      </x:c>
      <x:c r="D18" s="12" t="str">
        <x:v>Fortschritt und Review-Ergebnis</x:v>
      </x:c>
      <x:c r="E18" s="12" t="str">
        <x:v>Fortschritt und Review-Ergebnis</x:v>
      </x:c>
      <x:c r="F18" s="12" t="str">
        <x:v>Fortschritt und Review-Ergebnis</x:v>
      </x:c>
      <x:c r="G18" s="12" t="str">
        <x:v>Fortschritt und Review-Ergebnis</x:v>
      </x:c>
      <x:c r="H18" s="12" t="str">
        <x:v>Fortschritt und Review-Ergebnis</x:v>
      </x:c>
    </x:row>
    <x:row r="19">
      <x:c r="A19" s="25" t="str">
        <x:v>Prüfpunkte</x:v>
      </x:c>
      <x:c r="B19" s="25" t="str"/>
      <x:c r="C19" s="25" t="str">
        <x:v>OK</x:v>
      </x:c>
      <x:c r="D19" s="25" t="str"/>
      <x:c r="E19" s="25" t="str">
        <x:v>Nicht OK</x:v>
      </x:c>
      <x:c r="F19" s="25" t="str"/>
      <x:c r="G19" s="25" t="str">
        <x:v>Nicht geprüft</x:v>
      </x:c>
      <x:c r="H19" s="25" t="str">
        <x:v>Abschluss</x:v>
      </x:c>
    </x:row>
    <x:row r="20">
      <x:c r="A20" s="29" t="n">
        <x:f>COUNTA('Review 7.5'!B8:B17)</x:f>
        <x:v>10</x:v>
      </x:c>
      <x:c r="B20" s="29"/>
      <x:c r="C20" s="29" t="n">
        <x:f>COUNTIF('Review 7.5'!G8:G17,"OK")</x:f>
        <x:v>0</x:v>
      </x:c>
      <x:c r="D20" s="29"/>
      <x:c r="E20" s="29" t="n">
        <x:f>COUNTIF('Review 7.5'!G8:G17,"Nicht OK")</x:f>
        <x:v>0</x:v>
      </x:c>
      <x:c r="F20" s="29"/>
      <x:c r="G20" s="29" t="n">
        <x:f>COUNTIF('Review 7.5'!G8:G17,"Nicht geprüft")</x:f>
        <x:v>10</x:v>
      </x:c>
      <x:c r="H20" s="30" t="n">
        <x:f>IF(A20=0,0,(C20+COUNTIF('Review 7.5'!G8:G17,"n. a."))/A20)</x:f>
        <x:v>0</x:v>
      </x:c>
    </x:row>
    <x:row r="21">
      <x:c r="A21" s="2"/>
      <x:c r="B21" s="2"/>
      <x:c r="C21" s="2"/>
      <x:c r="D21" s="2"/>
      <x:c r="E21" s="2"/>
      <x:c r="F21" s="2"/>
      <x:c r="G21" s="2"/>
      <x:c r="H21" s="2"/>
    </x:row>
    <x:row r="22">
      <x:c r="A22" s="16" t="str">
        <x:v>Gesamtergebnis</x:v>
      </x:c>
      <x:c r="B22" s="19" t="str"/>
      <x:c r="C22" s="19" t="str"/>
      <x:c r="D22" s="19" t="str"/>
      <x:c r="E22" s="19" t="str"/>
      <x:c r="F22" s="19" t="str"/>
      <x:c r="G22" s="19" t="str"/>
      <x:c r="H22" s="19" t="str"/>
    </x:row>
    <x:row r="23" ht="28" customHeight="1">
      <x:c r="A23" s="16" t="str">
        <x:v>Ergebnis / Begründung</x:v>
      </x:c>
      <x:c r="B23" s="19" t="str"/>
      <x:c r="C23" s="19" t="str"/>
      <x:c r="D23" s="19" t="str"/>
      <x:c r="E23" s="19" t="str"/>
      <x:c r="F23" s="19" t="str"/>
      <x:c r="G23" s="19" t="str"/>
      <x:c r="H23" s="19" t="str"/>
    </x:row>
    <x:row r="24" ht="28" customHeight="1">
      <x:c r="A24" s="2"/>
      <x:c r="B24" s="19" t="str"/>
      <x:c r="C24" s="19" t="str"/>
      <x:c r="D24" s="19" t="str"/>
      <x:c r="E24" s="19" t="str"/>
      <x:c r="F24" s="19" t="str"/>
      <x:c r="G24" s="19" t="str"/>
      <x:c r="H24" s="19" t="str"/>
    </x:row>
    <x:row r="25" ht="28" customHeight="1">
      <x:c r="A25" s="2"/>
      <x:c r="B25" s="19" t="str"/>
      <x:c r="C25" s="19" t="str"/>
      <x:c r="D25" s="19" t="str"/>
      <x:c r="E25" s="19" t="str"/>
      <x:c r="F25" s="19" t="str"/>
      <x:c r="G25" s="19" t="str"/>
      <x:c r="H25" s="19" t="str"/>
    </x:row>
    <x:row r="26">
      <x:c r="A26" s="2"/>
      <x:c r="B26" s="2"/>
      <x:c r="C26" s="2"/>
      <x:c r="D26" s="2"/>
      <x:c r="E26" s="2"/>
      <x:c r="F26" s="2"/>
      <x:c r="G26" s="2"/>
      <x:c r="H26" s="2"/>
    </x:row>
    <x:row r="27" ht="26" customHeight="1">
      <x:c r="A27" s="16" t="str">
        <x:v>Zusammenfassung</x:v>
      </x:c>
      <x:c r="B27" s="19" t="str">
        <x:v>Das Dokument wurde auf konzeptionelle Fehler, inhaltliche Fehler und auf Konformität zu den Anforderungen der IEC 61508 geprüft.</x:v>
      </x:c>
      <x:c r="C27" s="19" t="str">
        <x:v>Das Dokument wurde auf konzeptionelle Fehler, inhaltliche Fehler und auf Konformität zu den Anforderungen der IEC 61508 geprüft.</x:v>
      </x:c>
      <x:c r="D27" s="19" t="str">
        <x:v>Das Dokument wurde auf konzeptionelle Fehler, inhaltliche Fehler und auf Konformität zu den Anforderungen der IEC 61508 geprüft.</x:v>
      </x:c>
      <x:c r="E27" s="19" t="str">
        <x:v>Das Dokument wurde auf konzeptionelle Fehler, inhaltliche Fehler und auf Konformität zu den Anforderungen der IEC 61508 geprüft.</x:v>
      </x:c>
      <x:c r="F27" s="19" t="str">
        <x:v>Das Dokument wurde auf konzeptionelle Fehler, inhaltliche Fehler und auf Konformität zu den Anforderungen der IEC 61508 geprüft.</x:v>
      </x:c>
      <x:c r="G27" s="19" t="str">
        <x:v>Das Dokument wurde auf konzeptionelle Fehler, inhaltliche Fehler und auf Konformität zu den Anforderungen der IEC 61508 geprüft.</x:v>
      </x:c>
      <x:c r="H27" s="19" t="str">
        <x:v>Das Dokument wurde auf konzeptionelle Fehler, inhaltliche Fehler und auf Konformität zu den Anforderungen der IEC 61508 geprüft.</x:v>
      </x:c>
    </x:row>
    <x:row r="28" ht="26" customHeight="1">
      <x:c r="A28" s="2"/>
      <x:c r="B28" s="19" t="str">
        <x:v>Das Dokument wurde auf konzeptionelle Fehler, inhaltliche Fehler und auf Konformität zu den Anforderungen der IEC 61508 geprüft.</x:v>
      </x:c>
      <x:c r="C28" s="19" t="str">
        <x:v>Das Dokument wurde auf konzeptionelle Fehler, inhaltliche Fehler und auf Konformität zu den Anforderungen der IEC 61508 geprüft.</x:v>
      </x:c>
      <x:c r="D28" s="19" t="str">
        <x:v>Das Dokument wurde auf konzeptionelle Fehler, inhaltliche Fehler und auf Konformität zu den Anforderungen der IEC 61508 geprüft.</x:v>
      </x:c>
      <x:c r="E28" s="19" t="str">
        <x:v>Das Dokument wurde auf konzeptionelle Fehler, inhaltliche Fehler und auf Konformität zu den Anforderungen der IEC 61508 geprüft.</x:v>
      </x:c>
      <x:c r="F28" s="19" t="str">
        <x:v>Das Dokument wurde auf konzeptionelle Fehler, inhaltliche Fehler und auf Konformität zu den Anforderungen der IEC 61508 geprüft.</x:v>
      </x:c>
      <x:c r="G28" s="19" t="str">
        <x:v>Das Dokument wurde auf konzeptionelle Fehler, inhaltliche Fehler und auf Konformität zu den Anforderungen der IEC 61508 geprüft.</x:v>
      </x:c>
      <x:c r="H28" s="19" t="str">
        <x:v>Das Dokument wurde auf konzeptionelle Fehler, inhaltliche Fehler und auf Konformität zu den Anforderungen der IEC 61508 geprüft.</x:v>
      </x:c>
    </x:row>
    <x:row r="29" ht="26" customHeight="1">
      <x:c r="A29" s="2"/>
      <x:c r="B29" s="19" t="str">
        <x:v>Das Dokument wurde auf konzeptionelle Fehler, inhaltliche Fehler und auf Konformität zu den Anforderungen der IEC 61508 geprüft.</x:v>
      </x:c>
      <x:c r="C29" s="19" t="str">
        <x:v>Das Dokument wurde auf konzeptionelle Fehler, inhaltliche Fehler und auf Konformität zu den Anforderungen der IEC 61508 geprüft.</x:v>
      </x:c>
      <x:c r="D29" s="19" t="str">
        <x:v>Das Dokument wurde auf konzeptionelle Fehler, inhaltliche Fehler und auf Konformität zu den Anforderungen der IEC 61508 geprüft.</x:v>
      </x:c>
      <x:c r="E29" s="19" t="str">
        <x:v>Das Dokument wurde auf konzeptionelle Fehler, inhaltliche Fehler und auf Konformität zu den Anforderungen der IEC 61508 geprüft.</x:v>
      </x:c>
      <x:c r="F29" s="19" t="str">
        <x:v>Das Dokument wurde auf konzeptionelle Fehler, inhaltliche Fehler und auf Konformität zu den Anforderungen der IEC 61508 geprüft.</x:v>
      </x:c>
      <x:c r="G29" s="19" t="str">
        <x:v>Das Dokument wurde auf konzeptionelle Fehler, inhaltliche Fehler und auf Konformität zu den Anforderungen der IEC 61508 geprüft.</x:v>
      </x:c>
      <x:c r="H29" s="19" t="str">
        <x:v>Das Dokument wurde auf konzeptionelle Fehler, inhaltliche Fehler und auf Konformität zu den Anforderungen der IEC 61508 geprüft.</x:v>
      </x:c>
    </x:row>
    <x:row r="30" ht="26" customHeight="1">
      <x:c r="A30" s="2"/>
      <x:c r="B30" s="19" t="str">
        <x:v>Das Dokument wurde auf konzeptionelle Fehler, inhaltliche Fehler und auf Konformität zu den Anforderungen der IEC 61508 geprüft.</x:v>
      </x:c>
      <x:c r="C30" s="19" t="str">
        <x:v>Das Dokument wurde auf konzeptionelle Fehler, inhaltliche Fehler und auf Konformität zu den Anforderungen der IEC 61508 geprüft.</x:v>
      </x:c>
      <x:c r="D30" s="19" t="str">
        <x:v>Das Dokument wurde auf konzeptionelle Fehler, inhaltliche Fehler und auf Konformität zu den Anforderungen der IEC 61508 geprüft.</x:v>
      </x:c>
      <x:c r="E30" s="19" t="str">
        <x:v>Das Dokument wurde auf konzeptionelle Fehler, inhaltliche Fehler und auf Konformität zu den Anforderungen der IEC 61508 geprüft.</x:v>
      </x:c>
      <x:c r="F30" s="19" t="str">
        <x:v>Das Dokument wurde auf konzeptionelle Fehler, inhaltliche Fehler und auf Konformität zu den Anforderungen der IEC 61508 geprüft.</x:v>
      </x:c>
      <x:c r="G30" s="19" t="str">
        <x:v>Das Dokument wurde auf konzeptionelle Fehler, inhaltliche Fehler und auf Konformität zu den Anforderungen der IEC 61508 geprüft.</x:v>
      </x:c>
      <x:c r="H30" s="19" t="str">
        <x:v>Das Dokument wurde auf konzeptionelle Fehler, inhaltliche Fehler und auf Konformität zu den Anforderungen der IEC 61508 geprüft.</x:v>
      </x:c>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sheetData>
  <x:mergeCells>
    <x:mergeCell ref="A1:H2"/>
    <x:mergeCell ref="A3:H3"/>
    <x:mergeCell ref="A5:H5"/>
    <x:mergeCell ref="B6:D6"/>
    <x:mergeCell ref="F6:H6"/>
    <x:mergeCell ref="B7:D7"/>
    <x:mergeCell ref="F7:H7"/>
    <x:mergeCell ref="B8:D8"/>
    <x:mergeCell ref="F8:H8"/>
    <x:mergeCell ref="B9:D9"/>
    <x:mergeCell ref="F9:H9"/>
    <x:mergeCell ref="B10:D10"/>
    <x:mergeCell ref="F10:H10"/>
    <x:mergeCell ref="A12:H12"/>
    <x:mergeCell ref="B13:H13"/>
    <x:mergeCell ref="B14:H14"/>
    <x:mergeCell ref="B15:H15"/>
    <x:mergeCell ref="B16:H16"/>
    <x:mergeCell ref="A18:H18"/>
    <x:mergeCell ref="B22:H22"/>
    <x:mergeCell ref="B23:H25"/>
    <x:mergeCell ref="B27:H30"/>
  </x:mergeCells>
  <x:dataValidations count="2">
    <x:dataValidation type="list" sqref="B8:D8">
      <x:formula1>"SIL 1,SIL 2,SIL 3"</x:formula1>
    </x:dataValidation>
    <x:dataValidation type="list" sqref="B22:H22">
      <x:formula1>"Dokument muss überarbeitet werden und kann danach freigegeben werden,Dokument muss überarbeitet werden und danach einem Review unterzogen werden,Dokument kann zum externen Review vorgelegt werden,Dokument kann freigegeben werden"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72" hidden="0" customWidth="1"/>
    <x:col min="4" max="4" width="34" hidden="0" customWidth="1"/>
    <x:col min="5" max="5" width="34" hidden="0" customWidth="1"/>
    <x:col min="6" max="6" width="25" hidden="0" customWidth="1"/>
    <x:col min="7" max="7" width="17" hidden="0" customWidth="1"/>
  </x:cols>
  <x:sheetData>
    <x:row r="1" ht="34" customHeight="1">
      <x:c r="A1" s="6" t="str">
        <x:v>Checkliste – IEC 61508-3, Kapitel 7.5</x:v>
      </x:c>
      <x:c r="B1" s="6" t="str">
        <x:v>Checkliste – IEC 61508-3, Kapitel 7.5</x:v>
      </x:c>
      <x:c r="C1" s="6" t="str">
        <x:v>Checkliste – IEC 61508-3, Kapitel 7.5</x:v>
      </x:c>
      <x:c r="D1" s="6" t="str">
        <x:v>Checkliste – IEC 61508-3, Kapitel 7.5</x:v>
      </x:c>
      <x:c r="E1" s="6" t="str">
        <x:v>Checkliste – IEC 61508-3, Kapitel 7.5</x:v>
      </x:c>
      <x:c r="F1" s="6" t="str">
        <x:v>Checkliste – IEC 61508-3, Kapitel 7.5</x:v>
      </x:c>
      <x:c r="G1" s="6" t="str">
        <x:v>Checkliste – IEC 61508-3, Kapitel 7.5</x:v>
      </x:c>
    </x:row>
    <x:row r="2" ht="34" customHeight="1">
      <x:c r="A2" s="6" t="str">
        <x:v>Checkliste – IEC 61508-3, Kapitel 7.5</x:v>
      </x:c>
      <x:c r="B2" s="6" t="str">
        <x:v>Checkliste – IEC 61508-3, Kapitel 7.5</x:v>
      </x:c>
      <x:c r="C2" s="6" t="str">
        <x:v>Checkliste – IEC 61508-3, Kapitel 7.5</x:v>
      </x:c>
      <x:c r="D2" s="6" t="str">
        <x:v>Checkliste – IEC 61508-3, Kapitel 7.5</x:v>
      </x:c>
      <x:c r="E2" s="6" t="str">
        <x:v>Checkliste – IEC 61508-3, Kapitel 7.5</x:v>
      </x:c>
      <x:c r="F2" s="6" t="str">
        <x:v>Checkliste – IEC 61508-3, Kapitel 7.5</x:v>
      </x:c>
      <x:c r="G2" s="6" t="str">
        <x:v>Checkliste – IEC 61508-3, Kapitel 7.5</x:v>
      </x:c>
    </x:row>
    <x:row r="3">
      <x:c r="A3" s="32" t="str">
        <x:v>Prüfergebnis: konkrete Bewertung des Prüfpunkts. Kommentar / Nachweis: Begründung, Referenz auf Nachweise oder offene Punkte.</x:v>
      </x:c>
      <x:c r="B3" s="32"/>
      <x:c r="C3" s="32"/>
      <x:c r="D3" s="32"/>
      <x:c r="E3" s="32"/>
      <x:c r="F3" s="32"/>
      <x:c r="G3" s="32"/>
    </x:row>
    <x:row r="4">
      <x:c r="A4" s="2"/>
      <x:c r="B4" s="2"/>
      <x:c r="C4" s="2"/>
      <x:c r="D4" s="2"/>
      <x:c r="E4" s="2"/>
      <x:c r="F4" s="2"/>
      <x:c r="G4" s="2"/>
    </x:row>
    <x:row r="5">
      <x:c r="A5" s="34" t="str">
        <x:v>Kapitel 7.5</x:v>
      </x:c>
      <x:c r="B5" s="34" t="str">
        <x:v>Integration der programmierbaren Elektronik (Hardware und Software)</x:v>
      </x:c>
      <x:c r="C5" s="34" t="str">
        <x:v>10 Prüfpunkte</x:v>
      </x:c>
      <x:c r="D5" s="34" t="str"/>
      <x:c r="E5" s="34" t="str"/>
      <x:c r="F5" s="34" t="str">
        <x:v>Dokumentenbezug</x:v>
      </x:c>
      <x:c r="G5" s="34" t="str">
        <x:v>Status / OK</x:v>
      </x:c>
    </x:row>
    <x:row r="6">
      <x:c r="A6" s="2"/>
      <x:c r="B6" s="2"/>
      <x:c r="C6" s="2"/>
      <x:c r="D6" s="2"/>
      <x:c r="E6" s="2"/>
      <x:c r="F6" s="2"/>
      <x:c r="G6" s="2"/>
    </x:row>
    <x:row r="7">
      <x:c r="A7" s="40" t="str">
        <x:v>Nr.</x:v>
      </x:c>
      <x:c r="B7" s="40" t="str">
        <x:v>Normkapitel</x:v>
      </x:c>
      <x:c r="C7" s="40" t="str">
        <x:v>Prüffrage / Prüfkriterium</x:v>
      </x:c>
      <x:c r="D7" s="40" t="str">
        <x:v>Prüfergebnis</x:v>
      </x:c>
      <x:c r="E7" s="40" t="str">
        <x:v>Kommentar / Nachweis</x:v>
      </x:c>
      <x:c r="F7" s="40" t="str">
        <x:v>E/A-Dokumente (IDs)</x:v>
      </x:c>
      <x:c r="G7" s="40" t="str">
        <x:v>Status / OK</x:v>
      </x:c>
    </x:row>
    <x:row r="8" ht="72" customHeight="1">
      <x:c r="A8" s="54" t="str">
        <x:v>Z1</x:v>
      </x:c>
      <x:c r="B8" s="54" t="str">
        <x:v>7.5.1.1</x:v>
      </x:c>
      <x:c r="C8" s="55" t="str">
        <x:v>Wird die Software kontrolliert in die Zielhardware der programmierbaren Elektronik integriert?</x:v>
      </x:c>
      <x:c r="D8" s="56" t="str"/>
      <x:c r="E8" s="56" t="str"/>
      <x:c r="F8" s="57" t="str">
        <x:v>D01–D03</x:v>
      </x:c>
      <x:c r="G8" s="58" t="str">
        <x:v>Nicht geprüft</x:v>
      </x:c>
    </x:row>
    <x:row r="9" ht="73" customHeight="1">
      <x:c r="A9" s="54" t="str">
        <x:v>Z2</x:v>
      </x:c>
      <x:c r="B9" s="54" t="str">
        <x:v>7.5.1.2</x:v>
      </x:c>
      <x:c r="C9" s="55" t="str">
        <x:v>Werden Software und Hardware der sicherheitsbezogenen programmierbaren Elektronik so zusammengefügt, dass ihre Verträglichkeit nachgewiesen ist und die Anforderungen des angestrebten Sicherheits-Integritätslevels erfüllt werden?</x:v>
      </x:c>
      <x:c r="D9" s="56" t="str"/>
      <x:c r="E9" s="56" t="str"/>
      <x:c r="F9" s="57" t="str">
        <x:v>D02, D03, D05, D06</x:v>
      </x:c>
      <x:c r="G9" s="58" t="str">
        <x:v>Nicht geprüft</x:v>
      </x:c>
    </x:row>
    <x:row r="10" ht="73" customHeight="1">
      <x:c r="A10" s="54" t="str">
        <x:v>1</x:v>
      </x:c>
      <x:c r="B10" s="54" t="str">
        <x:v>7.5.2.1</x:v>
      </x:c>
      <x:c r="C10" s="55" t="str">
        <x:v>Wurden die Integrationstests bereits während der Entwurfs- und Entwicklungsphase nach 7.4.3 spezifiziert, damit die Verträglichkeit von Hardware und Software der sicherheitsbezogenen programmierbaren Elektronik geprüft werden kann?</x:v>
      </x:c>
      <x:c r="D10" s="56" t="str"/>
      <x:c r="E10" s="56" t="str"/>
      <x:c r="F10" s="57" t="str">
        <x:v>D01, D02</x:v>
      </x:c>
      <x:c r="G10" s="58" t="str">
        <x:v>Nicht geprüft</x:v>
      </x:c>
    </x:row>
    <x:row r="11" ht="166" customHeight="1">
      <x:c r="A11" s="54" t="str">
        <x:v>2</x:v>
      </x:c>
      <x:c r="B11" s="54" t="str">
        <x:v>7.5.2.2</x:v>
      </x:c>
      <x:c r="C11" s="55" t="str">
        <x:v>Legt die Software/PE-Integrationstestspezifikation für Hardware und Software fest:
a) die Aufteilung des Systems in Integrationsstufen;
b) die Testfälle und Testdaten;
c) die durchzuführenden Testarten;
d) die Testumgebung einschließlich Werkzeuge, Hilfssoftware und Konfiguration;
e) die Kriterien, nach denen ein Test als durchgeführt gilt?</x:v>
      </x:c>
      <x:c r="D11" s="56" t="str"/>
      <x:c r="E11" s="56" t="str"/>
      <x:c r="F11" s="57" t="str">
        <x:v>D02, D07–D11</x:v>
      </x:c>
      <x:c r="G11" s="58" t="str">
        <x:v>Nicht geprüft</x:v>
      </x:c>
    </x:row>
    <x:row r="12" ht="72" customHeight="1">
      <x:c r="A12" s="54" t="str">
        <x:v>3</x:v>
      </x:c>
      <x:c r="B12" s="54" t="str">
        <x:v>7.5.2.3</x:v>
      </x:c>
      <x:c r="C12" s="55" t="str">
        <x:v>Unterscheidet die Software/PE-Integrationstestspezifikation zwischen Tätigkeiten, die beim Entwickler durchgeführt werden können, und Tätigkeiten, für die Zugang zum Standort des Anwenders erforderlich ist?</x:v>
      </x:c>
      <x:c r="D12" s="56" t="str"/>
      <x:c r="E12" s="56" t="str"/>
      <x:c r="F12" s="57" t="str">
        <x:v>D02, D12</x:v>
      </x:c>
      <x:c r="G12" s="58" t="str">
        <x:v>Nicht geprüft</x:v>
      </x:c>
    </x:row>
    <x:row r="13" ht="132" customHeight="1">
      <x:c r="A13" s="54" t="str">
        <x:v>4</x:v>
      </x:c>
      <x:c r="B13" s="54" t="str">
        <x:v>7.5.2.4</x:v>
      </x:c>
      <x:c r="C13" s="55" t="str">
        <x:v>Unterscheidet die Software/PE-Integrationstestspezifikation zwischen:
a) der Verbindung des Softwaresystems mit der Zielhardware der programmierbaren Elektronik;
b) der E/E/PE-Integration einschließlich der Schnittstellen zu Sensoren und Aktoren;
c) der Anwendung des sicherheitsbezogenen E/E/PE-Systems auf die EUC?</x:v>
      </x:c>
      <x:c r="D13" s="56" t="str"/>
      <x:c r="E13" s="56" t="str"/>
      <x:c r="F13" s="57" t="str">
        <x:v>D02, D03</x:v>
      </x:c>
      <x:c r="G13" s="58" t="str">
        <x:v>Nicht geprüft</x:v>
      </x:c>
    </x:row>
    <x:row r="14" ht="72" customHeight="1">
      <x:c r="A14" s="54" t="str">
        <x:v>5</x:v>
      </x:c>
      <x:c r="B14" s="54" t="str">
        <x:v>7.5.2.5</x:v>
      </x:c>
      <x:c r="C14" s="55" t="str">
        <x:v>Wurde die Software entsprechend der Software/PE-Integrationstestspezifikation in die Hardware der sicherheitsbezogenen programmierbaren Elektronik integriert?</x:v>
      </x:c>
      <x:c r="D14" s="56" t="str"/>
      <x:c r="E14" s="56" t="str"/>
      <x:c r="F14" s="57" t="str">
        <x:v>D02–D05</x:v>
      </x:c>
      <x:c r="G14" s="58" t="str">
        <x:v>Nicht geprüft</x:v>
      </x:c>
    </x:row>
    <x:row r="15" ht="73" customHeight="1">
      <x:c r="A15" s="54" t="str">
        <x:v>6</x:v>
      </x:c>
      <x:c r="B15" s="54" t="str">
        <x:v>7.5.2.6</x:v>
      </x:c>
      <x:c r="C15" s="55" t="str">
        <x:v>Wurde jede Änderung des integrierten Systems während des Integrationstests einer Einflussanalyse unterzogen? Ermittelt die Analyse die betroffenen Softwaremodule und die erforderlichen Tätigkeiten für die Neuverifikation?</x:v>
      </x:c>
      <x:c r="D15" s="56" t="str"/>
      <x:c r="E15" s="56" t="str"/>
      <x:c r="F15" s="57" t="str">
        <x:v>D13, D14</x:v>
      </x:c>
      <x:c r="G15" s="58" t="str">
        <x:v>Nicht geprüft</x:v>
      </x:c>
    </x:row>
    <x:row r="16" ht="72" customHeight="1">
      <x:c r="A16" s="54" t="str">
        <x:v>7</x:v>
      </x:c>
      <x:c r="B16" s="54" t="str">
        <x:v>7.5.2.7</x:v>
      </x:c>
      <x:c r="C16" s="55" t="str">
        <x:v>Sind die Testfälle und ihre erwarteten Ergebnisse für spätere Analysen dokumentiert?</x:v>
      </x:c>
      <x:c r="D16" s="56" t="str"/>
      <x:c r="E16" s="56" t="str"/>
      <x:c r="F16" s="57" t="str">
        <x:v>D08, D15</x:v>
      </x:c>
      <x:c r="G16" s="58" t="str">
        <x:v>Nicht geprüft</x:v>
      </x:c>
    </x:row>
    <x:row r="17" ht="89" customHeight="1">
      <x:c r="A17" s="54" t="str">
        <x:v>8</x:v>
      </x:c>
      <x:c r="B17" s="54" t="str">
        <x:v>7.5.2.8</x:v>
      </x:c>
      <x:c r="C17" s="55" t="str">
        <x:v>Sind der Integrationstest der sicherheitsbezogenen programmierbaren Elektronik und seine Ergebnisse dokumentiert? Ist festgehalten, ob die Ziele und Testkriterien erreicht wurden? Sind bei festgestelltem Versagen die Gründe dokumentiert? Wurde jede Modifikation des integrierten Systems durch eine Einflussanalyse auf betroffene Softwareelemente oder Softwaremodule sowie erforderliche Tätigkeiten für Neuverifikation und Neuentwurf geprüft?</x:v>
      </x:c>
      <x:c r="D17" s="56" t="str"/>
      <x:c r="E17" s="56" t="str"/>
      <x:c r="F17" s="57" t="str">
        <x:v>D03, D05, D06, D08, D10, D11, D13–D15</x:v>
      </x:c>
      <x:c r="G17" s="58" t="str">
        <x:v>Nicht geprüft</x:v>
      </x:c>
    </x:row>
    <x:row r="18" ht="165" customHeight="1">
      <x:c r="A18" s="43"/>
      <x:c r="B18" s="43"/>
      <x:c r="C18" s="41"/>
      <x:c r="D18" s="19"/>
      <x:c r="E18" s="19"/>
      <x:c r="F18" s="42"/>
      <x:c r="G18" s="44"/>
    </x:row>
    <x:row r="19" ht="157" customHeight="1">
      <x:c r="A19" s="43"/>
      <x:c r="B19" s="43"/>
      <x:c r="C19" s="41"/>
      <x:c r="D19" s="19"/>
      <x:c r="E19" s="19"/>
      <x:c r="F19" s="42"/>
      <x:c r="G19" s="44"/>
    </x:row>
    <x:row r="20" ht="124" customHeight="1">
      <x:c r="A20" s="43"/>
      <x:c r="B20" s="43"/>
      <x:c r="C20" s="41"/>
      <x:c r="D20" s="19"/>
      <x:c r="E20" s="19"/>
      <x:c r="F20" s="42"/>
      <x:c r="G20" s="44"/>
    </x:row>
    <x:row r="21" ht="182" customHeight="1">
      <x:c r="A21" s="43"/>
      <x:c r="B21" s="43"/>
      <x:c r="C21" s="41"/>
      <x:c r="D21" s="19"/>
      <x:c r="E21" s="19"/>
      <x:c r="F21" s="42"/>
      <x:c r="G21" s="44"/>
    </x:row>
    <x:row r="22" ht="72" customHeight="1">
      <x:c r="A22" s="43"/>
      <x:c r="B22" s="43"/>
      <x:c r="C22" s="41"/>
      <x:c r="D22" s="19"/>
      <x:c r="E22" s="19"/>
      <x:c r="F22" s="42"/>
      <x:c r="G22" s="44"/>
    </x:row>
    <x:row r="23">
      <x:c r="A23" s="2"/>
      <x:c r="B23" s="2"/>
      <x:c r="C23" s="2"/>
      <x:c r="D23" s="2"/>
      <x:c r="E23" s="2"/>
      <x:c r="F23" s="2"/>
      <x:c r="G23" s="2"/>
    </x:row>
    <x:row r="24">
      <x:c r="A24" s="2"/>
      <x:c r="B24" s="2"/>
      <x:c r="C24" s="2"/>
      <x:c r="D24" s="2"/>
      <x:c r="E24" s="2"/>
      <x:c r="F24" s="2"/>
      <x:c r="G24" s="2"/>
    </x:row>
    <x:row r="25">
      <x:c r="A25" s="2"/>
      <x:c r="B25" s="2"/>
      <x:c r="C25" s="2"/>
      <x:c r="D25" s="2"/>
      <x:c r="E25" s="2"/>
      <x:c r="F25" s="2"/>
      <x:c r="G25" s="2"/>
    </x:row>
  </x:sheetData>
  <x:mergeCells>
    <x:mergeCell ref="A1:G2"/>
    <x:mergeCell ref="A3:G3"/>
  </x:mergeCells>
  <x:conditionalFormatting sqref="G8:G22">
    <x:cfRule type="expression" dxfId="0" priority="1">
      <x:formula>G8="OK"</x:formula>
    </x:cfRule>
    <x:cfRule type="expression" dxfId="1" priority="2">
      <x:formula>G8="Nicht OK"</x:formula>
    </x:cfRule>
    <x:cfRule type="expression" dxfId="2" priority="3">
      <x:formula>G8="Nicht geprüft"</x:formula>
    </x:cfRule>
    <x:cfRule type="expression" dxfId="3" priority="4">
      <x:formula>G8="n. a."</x:formula>
    </x:cfRule>
  </x:conditionalFormatting>
  <x:conditionalFormatting sqref="G8:G17">
    <x:cfRule type="expression" dxfId="12" priority="5">
      <x:formula>G8="OK"</x:formula>
    </x:cfRule>
    <x:cfRule type="expression" dxfId="13" priority="6">
      <x:formula>G8="Nicht OK"</x:formula>
    </x:cfRule>
    <x:cfRule type="expression" dxfId="14" priority="7">
      <x:formula>G8="Nicht geprüft"</x:formula>
    </x:cfRule>
    <x:cfRule type="expression" dxfId="15" priority="8">
      <x:formula>G8="n. a."</x:formula>
    </x:cfRule>
  </x:conditionalFormatting>
  <x:dataValidations count="2">
    <x:dataValidation type="list" sqref="G8:G22">
      <x:formula1>"Nicht geprüft,OK,Nicht OK,n. a."</x:formula1>
    </x:dataValidation>
    <x:dataValidation type="list" sqref="G8:G17">
      <x:formula1>"Nicht geprüft,OK,Nicht OK,n. a."</x:formula1>
    </x:dataValidation>
  </x:dataValidations>
  <x:pageMargins left="0.7" right="0.7" top="0.75" bottom="0.75" header="0.3" footer="0.3"/>
  <x:tableParts count="1">
    <x:tablePart xmlns:r="http://schemas.openxmlformats.org/officeDocument/2006/relationships" r:id="R858fe22b22744a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42" hidden="0" customWidth="1"/>
    <x:col min="4" max="4" width="52" hidden="0" customWidth="1"/>
    <x:col min="5" max="5" width="18" hidden="0" customWidth="1"/>
    <x:col min="6" max="6" width="46" hidden="0" customWidth="1"/>
    <x:col min="7" max="7" width="28" hidden="0" customWidth="1"/>
    <x:col min="8" max="8" width="14" hidden="0" customWidth="1"/>
    <x:col min="9" max="9" width="19" hidden="0" customWidth="1"/>
    <x:col min="10" max="10" width="22" hidden="0" customWidth="1"/>
    <x:col min="11" max="11" width="34" hidden="0" customWidth="1"/>
  </x:cols>
  <x:sheetData>
    <x:row r="1" ht="34" customHeight="1">
      <x:c r="A1" s="6" t="str">
        <x:v>Eingabe- und Ausgabedokumente – Kapitel 7.5</x:v>
      </x:c>
      <x:c r="B1" s="6" t="str">
        <x:v>Eingabe- und Ausgabedokumente – Kapitel 7.5</x:v>
      </x:c>
      <x:c r="C1" s="6" t="str">
        <x:v>Eingabe- und Ausgabedokumente – Kapitel 7.5</x:v>
      </x:c>
      <x:c r="D1" s="6" t="str">
        <x:v>Eingabe- und Ausgabedokumente – Kapitel 7.5</x:v>
      </x:c>
      <x:c r="E1" s="6" t="str">
        <x:v>Eingabe- und Ausgabedokumente – Kapitel 7.5</x:v>
      </x:c>
      <x:c r="F1" s="6" t="str">
        <x:v>Eingabe- und Ausgabedokumente – Kapitel 7.5</x:v>
      </x:c>
      <x:c r="G1" s="6" t="str">
        <x:v>Eingabe- und Ausgabedokumente – Kapitel 7.5</x:v>
      </x:c>
      <x:c r="H1" s="6" t="str">
        <x:v>Eingabe- und Ausgabedokumente – Kapitel 7.5</x:v>
      </x:c>
      <x:c r="I1" s="6" t="str">
        <x:v>Eingabe- und Ausgabedokumente – Kapitel 7.5</x:v>
      </x:c>
      <x:c r="J1" s="6" t="str">
        <x:v>Eingabe- und Ausgabedokumente – Kapitel 7.5</x:v>
      </x:c>
      <x:c r="K1" s="6" t="str">
        <x:v>Eingabe- und Ausgabedokumente – Kapitel 7.5</x:v>
      </x:c>
    </x:row>
    <x:row r="2" ht="34" customHeight="1">
      <x:c r="A2" s="6" t="str">
        <x:v>Eingabe- und Ausgabedokumente – Kapitel 7.5</x:v>
      </x:c>
      <x:c r="B2" s="6" t="str">
        <x:v>Eingabe- und Ausgabedokumente – Kapitel 7.5</x:v>
      </x:c>
      <x:c r="C2" s="6" t="str">
        <x:v>Eingabe- und Ausgabedokumente – Kapitel 7.5</x:v>
      </x:c>
      <x:c r="D2" s="6" t="str">
        <x:v>Eingabe- und Ausgabedokumente – Kapitel 7.5</x:v>
      </x:c>
      <x:c r="E2" s="6" t="str">
        <x:v>Eingabe- und Ausgabedokumente – Kapitel 7.5</x:v>
      </x:c>
      <x:c r="F2" s="6" t="str">
        <x:v>Eingabe- und Ausgabedokumente – Kapitel 7.5</x:v>
      </x:c>
      <x:c r="G2" s="6" t="str">
        <x:v>Eingabe- und Ausgabedokumente – Kapitel 7.5</x:v>
      </x:c>
      <x:c r="H2" s="6" t="str">
        <x:v>Eingabe- und Ausgabedokumente – Kapitel 7.5</x:v>
      </x:c>
      <x:c r="I2" s="6" t="str">
        <x:v>Eingabe- und Ausgabedokumente – Kapitel 7.5</x:v>
      </x:c>
      <x:c r="J2" s="6" t="str">
        <x:v>Eingabe- und Ausgabedokumente – Kapitel 7.5</x:v>
      </x:c>
      <x:c r="K2" s="6" t="str">
        <x:v>Eingabe- und Ausgabedokumente – Kapitel 7.5</x:v>
      </x:c>
    </x:row>
    <x:row r="3">
      <x:c r="A3" s="32" t="str">
        <x:v>Normnahes Dokumentenregister mit Bezug zu Prüfpunkt und Normkapitel. Gelbe Zellen werden projektspezifisch ausgefüllt.</x:v>
      </x:c>
      <x:c r="B3" s="32" t="str">
        <x:v>Normnahes Dokumentenregister mit Bezug zu Prüfpunkt und Normkapitel. Gelbe Zellen werden projektspezifisch ausgefüllt.</x:v>
      </x:c>
      <x:c r="C3" s="32" t="str">
        <x:v>Normnahes Dokumentenregister mit Bezug zu Prüfpunkt und Normkapitel. Gelbe Zellen werden projektspezifisch ausgefüllt.</x:v>
      </x:c>
      <x:c r="D3" s="32" t="str">
        <x:v>Normnahes Dokumentenregister mit Bezug zu Prüfpunkt und Normkapitel. Gelbe Zellen werden projektspezifisch ausgefüllt.</x:v>
      </x:c>
      <x:c r="E3" s="32" t="str">
        <x:v>Normnahes Dokumentenregister mit Bezug zu Prüfpunkt und Normkapitel. Gelbe Zellen werden projektspezifisch ausgefüllt.</x:v>
      </x:c>
      <x:c r="F3" s="32" t="str">
        <x:v>Normnahes Dokumentenregister mit Bezug zu Prüfpunkt und Normkapitel. Gelbe Zellen werden projektspezifisch ausgefüllt.</x:v>
      </x:c>
      <x:c r="G3" s="32" t="str">
        <x:v>Normnahes Dokumentenregister mit Bezug zu Prüfpunkt und Normkapitel. Gelbe Zellen werden projektspezifisch ausgefüllt.</x:v>
      </x:c>
      <x:c r="H3" s="32" t="str">
        <x:v>Normnahes Dokumentenregister mit Bezug zu Prüfpunkt und Normkapitel. Gelbe Zellen werden projektspezifisch ausgefüllt.</x:v>
      </x:c>
      <x:c r="I3" s="32" t="str">
        <x:v>Normnahes Dokumentenregister mit Bezug zu Prüfpunkt und Normkapitel. Gelbe Zellen werden projektspezifisch ausgefüllt.</x:v>
      </x:c>
      <x:c r="J3" s="32" t="str">
        <x:v>Normnahes Dokumentenregister mit Bezug zu Prüfpunkt und Normkapitel. Gelbe Zellen werden projektspezifisch ausgefüllt.</x:v>
      </x:c>
      <x:c r="K3" s="32" t="str">
        <x:v>Normnahes Dokumentenregister mit Bezug zu Prüfpunkt und Normkapitel. Gelbe Zellen werden projektspezifisch ausgefüllt.</x:v>
      </x:c>
    </x:row>
    <x:row r="4">
      <x:c r="A4" s="2"/>
      <x:c r="B4" s="2"/>
      <x:c r="C4" s="2"/>
      <x:c r="D4" s="2"/>
      <x:c r="E4" s="2"/>
      <x:c r="F4" s="2"/>
      <x:c r="G4" s="2"/>
      <x:c r="H4" s="2"/>
      <x:c r="I4" s="2"/>
      <x:c r="J4" s="2"/>
      <x:c r="K4" s="2"/>
    </x:row>
    <x:row r="5">
      <x:c r="A5" s="48" t="str">
        <x:v>Dokumente</x:v>
      </x:c>
      <x:c r="B5" s="48" t="n">
        <x:v>15</x:v>
      </x:c>
      <x:c r="C5" s="48" t="str">
        <x:v>Eingaben</x:v>
      </x:c>
      <x:c r="D5" s="48" t="n">
        <x:f>COUNTIF(B8:B22,"Eingabe")+COUNTIF(B8:B22,"Eingabe / Ausgabe")</x:f>
        <x:v>4</x:v>
      </x:c>
      <x:c r="E5" s="48" t="str">
        <x:v>Ausgaben</x:v>
      </x:c>
      <x:c r="F5" s="48" t="n">
        <x:f>COUNTIF(B8:B22,"Ausgabe")+COUNTIF(B8:B22,"Eingabe / Ausgabe")</x:f>
        <x:v>12</x:v>
      </x:c>
      <x:c r="G5" s="48" t="str">
        <x:v>Geprüft / freigegeben</x:v>
      </x:c>
      <x:c r="H5" s="48" t="n">
        <x:f>COUNTIF(I8:I22,"Geprüft")+COUNTIF(I8:I22,"Freigegeben")</x:f>
        <x:v>0</x:v>
      </x:c>
      <x:c r="I5" s="48" t="str">
        <x:v>Nicht vorgelegt</x:v>
      </x:c>
      <x:c r="J5" s="48" t="n">
        <x:f>COUNTIF(I8:I22,"Nicht vorgelegt")</x:f>
        <x:v>15</x:v>
      </x:c>
      <x:c r="K5" s="48" t="str"/>
    </x:row>
    <x:row r="6">
      <x:c r="A6" s="2"/>
      <x:c r="B6" s="2"/>
      <x:c r="C6" s="2"/>
      <x:c r="D6" s="2"/>
      <x:c r="E6" s="2"/>
      <x:c r="F6" s="2"/>
      <x:c r="G6" s="2"/>
      <x:c r="H6" s="2"/>
      <x:c r="I6" s="2"/>
      <x:c r="J6" s="2"/>
      <x:c r="K6" s="2"/>
    </x:row>
    <x:row r="7">
      <x:c r="A7" s="40" t="str">
        <x:v>ID</x:v>
      </x:c>
      <x:c r="B7" s="40" t="str">
        <x:v>Art</x:v>
      </x:c>
      <x:c r="C7" s="40" t="str">
        <x:v>Normbegriff / Dokument</x:v>
      </x:c>
      <x:c r="D7" s="40" t="str">
        <x:v>Funktion / erwarteter Inhalt</x:v>
      </x:c>
      <x:c r="E7" s="40" t="str">
        <x:v>Bezug Prüfpunkt</x:v>
      </x:c>
      <x:c r="F7" s="40" t="str">
        <x:v>Normreferenz</x:v>
      </x:c>
      <x:c r="G7" s="40" t="str">
        <x:v>Dokumentkennung / Referenz</x:v>
      </x:c>
      <x:c r="H7" s="40" t="str">
        <x:v>Version / Index</x:v>
      </x:c>
      <x:c r="I7" s="40" t="str">
        <x:v>Status</x:v>
      </x:c>
      <x:c r="J7" s="40" t="str">
        <x:v>Verantwortlich</x:v>
      </x:c>
      <x:c r="K7" s="40" t="str">
        <x:v>Ablageort / Link</x:v>
      </x:c>
    </x:row>
    <x:row r="8" ht="60" customHeight="1">
      <x:c r="A8" s="54" t="str">
        <x:v>D01</x:v>
      </x:c>
      <x:c r="B8" s="54" t="str">
        <x:v>Eingabe</x:v>
      </x:c>
      <x:c r="C8" s="55" t="str">
        <x:v>Spezifikation des Integrationstests der Softwarearchitektur (SAITS)</x:v>
      </x:c>
      <x:c r="D8" s="55" t="str">
        <x:v>Legt die vorgelagerten Architektur-Integrationstests fest.</x:v>
      </x:c>
      <x:c r="E8" s="54" t="str">
        <x:v>Z1, 1</x:v>
      </x:c>
      <x:c r="F8" s="55" t="str">
        <x:v>IEC 61508-3, 7.5.2 und 7.4.3</x:v>
      </x:c>
      <x:c r="G8" s="56" t="str"/>
      <x:c r="H8" s="58" t="str"/>
      <x:c r="I8" s="58" t="str">
        <x:v>Nicht vorgelegt</x:v>
      </x:c>
      <x:c r="J8" s="56" t="str"/>
      <x:c r="K8" s="56" t="str"/>
    </x:row>
    <x:row r="9" ht="60" customHeight="1">
      <x:c r="A9" s="54" t="str">
        <x:v>D02</x:v>
      </x:c>
      <x:c r="B9" s="54" t="str">
        <x:v>Eingabe</x:v>
      </x:c>
      <x:c r="C9" s="55" t="str">
        <x:v>Spezifikation des Software-/PE-Integrationstests (SITS)</x:v>
      </x:c>
      <x:c r="D9" s="55" t="str">
        <x:v>Legt Integrationsstufen, Testfälle, Daten, Testarten, Umgebung und Kriterien fest.</x:v>
      </x:c>
      <x:c r="E9" s="54" t="str">
        <x:v>Z1, Z2, 1–8</x:v>
      </x:c>
      <x:c r="F9" s="55" t="str">
        <x:v>IEC 61508-3, 7.5.2</x:v>
      </x:c>
      <x:c r="G9" s="56" t="str"/>
      <x:c r="H9" s="58" t="str"/>
      <x:c r="I9" s="58" t="str">
        <x:v>Nicht vorgelegt</x:v>
      </x:c>
      <x:c r="J9" s="56" t="str"/>
      <x:c r="K9" s="56" t="str"/>
    </x:row>
    <x:row r="10" ht="60" customHeight="1">
      <x:c r="A10" s="54" t="str">
        <x:v>D03</x:v>
      </x:c>
      <x:c r="B10" s="54" t="str">
        <x:v>Eingabe</x:v>
      </x:c>
      <x:c r="C10" s="55" t="str">
        <x:v>Integrierte programmierbare Elektronik</x:v>
      </x:c>
      <x:c r="D10" s="55" t="str">
        <x:v>Kennzeichnet Hardware, Software, Daten, Schnittstellen und Zielkonfiguration des Prüflings.</x:v>
      </x:c>
      <x:c r="E10" s="54" t="str">
        <x:v>Z1, Z2, 5–8</x:v>
      </x:c>
      <x:c r="F10" s="55" t="str">
        <x:v>IEC 61508-3, 7.5.1 und 7.5.2</x:v>
      </x:c>
      <x:c r="G10" s="56" t="str"/>
      <x:c r="H10" s="58" t="str"/>
      <x:c r="I10" s="58" t="str">
        <x:v>Nicht vorgelegt</x:v>
      </x:c>
      <x:c r="J10" s="56" t="str"/>
      <x:c r="K10" s="56" t="str"/>
    </x:row>
    <x:row r="11" ht="60" customHeight="1">
      <x:c r="A11" s="54" t="str">
        <x:v>D04</x:v>
      </x:c>
      <x:c r="B11" s="54" t="str">
        <x:v>Ausgabe</x:v>
      </x:c>
      <x:c r="C11" s="55" t="str">
        <x:v>Ergebnisse des Tests der Integration der Softwarearchitektur (SAITR)</x:v>
      </x:c>
      <x:c r="D11" s="55" t="str">
        <x:v>Dokumentiert Ergebnisse und Abweichungen der vorgelagerten Softwarearchitektur-Integration.</x:v>
      </x:c>
      <x:c r="E11" s="54" t="str">
        <x:v>1, 5</x:v>
      </x:c>
      <x:c r="F11" s="55" t="str">
        <x:v>IEC 61508-3, 7.4.8 und 7.5</x:v>
      </x:c>
      <x:c r="G11" s="56" t="str"/>
      <x:c r="H11" s="58" t="str"/>
      <x:c r="I11" s="58" t="str">
        <x:v>Nicht vorgelegt</x:v>
      </x:c>
      <x:c r="J11" s="56" t="str"/>
      <x:c r="K11" s="56" t="str"/>
    </x:row>
    <x:row r="12" ht="60" customHeight="1">
      <x:c r="A12" s="54" t="str">
        <x:v>D05</x:v>
      </x:c>
      <x:c r="B12" s="54" t="str">
        <x:v>Ausgabe</x:v>
      </x:c>
      <x:c r="C12" s="55" t="str">
        <x:v>Ergebnisse des Tests der Integration der programmierbaren Elektronik (PEITR)</x:v>
      </x:c>
      <x:c r="D12" s="55" t="str">
        <x:v>Enthält Soll-/Ist-Ergebnisse, Abweichungen und Kriterienerfüllung der Hardware-Software-Integration.</x:v>
      </x:c>
      <x:c r="E12" s="54" t="str">
        <x:v>5, 7, 8</x:v>
      </x:c>
      <x:c r="F12" s="55" t="str">
        <x:v>IEC 61508-3, 7.5.2.5 bis 7.5.2.8</x:v>
      </x:c>
      <x:c r="G12" s="56" t="str"/>
      <x:c r="H12" s="58" t="str"/>
      <x:c r="I12" s="58" t="str">
        <x:v>Nicht vorgelegt</x:v>
      </x:c>
      <x:c r="J12" s="56" t="str"/>
      <x:c r="K12" s="56" t="str"/>
    </x:row>
    <x:row r="13" ht="60" customHeight="1">
      <x:c r="A13" s="54" t="str">
        <x:v>D06</x:v>
      </x:c>
      <x:c r="B13" s="54" t="str">
        <x:v>Ausgabe</x:v>
      </x:c>
      <x:c r="C13" s="55" t="str">
        <x:v>Verifizierte und getestete integrierte programmierbare Elektronik</x:v>
      </x:c>
      <x:c r="D13" s="55" t="str">
        <x:v>Kennzeichnet den freigegebenen integrierten Systemstand und seine Nachweise.</x:v>
      </x:c>
      <x:c r="E13" s="54" t="str">
        <x:v>Z2, 8</x:v>
      </x:c>
      <x:c r="F13" s="55" t="str">
        <x:v>IEC 61508-3, 7.5.1 und 7.5.2.8</x:v>
      </x:c>
      <x:c r="G13" s="56" t="str"/>
      <x:c r="H13" s="58" t="str"/>
      <x:c r="I13" s="58" t="str">
        <x:v>Nicht vorgelegt</x:v>
      </x:c>
      <x:c r="J13" s="56" t="str"/>
      <x:c r="K13" s="56" t="str"/>
    </x:row>
    <x:row r="14" ht="60" customHeight="1">
      <x:c r="A14" s="54" t="str">
        <x:v>D07</x:v>
      </x:c>
      <x:c r="B14" s="54" t="str">
        <x:v>Ausgabe</x:v>
      </x:c>
      <x:c r="C14" s="55" t="str">
        <x:v>Aufteilung des Systems in Integrationsstufen</x:v>
      </x:c>
      <x:c r="D14" s="55" t="str">
        <x:v>Beschreibt Reihenfolge und handhabbare Integrationsschritte.</x:v>
      </x:c>
      <x:c r="E14" s="54" t="str">
        <x:v>2</x:v>
      </x:c>
      <x:c r="F14" s="55" t="str">
        <x:v>IEC 61508-3, 7.5.2.2 a)</x:v>
      </x:c>
      <x:c r="G14" s="56" t="str"/>
      <x:c r="H14" s="58" t="str"/>
      <x:c r="I14" s="58" t="str">
        <x:v>Nicht vorgelegt</x:v>
      </x:c>
      <x:c r="J14" s="56" t="str"/>
      <x:c r="K14" s="56" t="str"/>
    </x:row>
    <x:row r="15" ht="60" customHeight="1">
      <x:c r="A15" s="54" t="str">
        <x:v>D08</x:v>
      </x:c>
      <x:c r="B15" s="54" t="str">
        <x:v>Ausgabe</x:v>
      </x:c>
      <x:c r="C15" s="55" t="str">
        <x:v>Integrationstestfälle, Testdaten und erwartete Ergebnisse</x:v>
      </x:c>
      <x:c r="D15" s="55" t="str">
        <x:v>Stellt reproduzierbare Prüfungen und spätere Analysen sicher.</x:v>
      </x:c>
      <x:c r="E15" s="54" t="str">
        <x:v>2, 7, 8</x:v>
      </x:c>
      <x:c r="F15" s="55" t="str">
        <x:v>IEC 61508-3, 7.5.2.2 b), 7.5.2.7 und 7.5.2.8</x:v>
      </x:c>
      <x:c r="G15" s="56" t="str"/>
      <x:c r="H15" s="58" t="str"/>
      <x:c r="I15" s="58" t="str">
        <x:v>Nicht vorgelegt</x:v>
      </x:c>
      <x:c r="J15" s="56" t="str"/>
      <x:c r="K15" s="56" t="str"/>
    </x:row>
    <x:row r="16" ht="60" customHeight="1">
      <x:c r="A16" s="54" t="str">
        <x:v>D09</x:v>
      </x:c>
      <x:c r="B16" s="54" t="str">
        <x:v>Ausgabe</x:v>
      </x:c>
      <x:c r="C16" s="55" t="str">
        <x:v>Festgelegte Testarten</x:v>
      </x:c>
      <x:c r="D16" s="55" t="str">
        <x:v>Bestimmt funktionale, Schnittstellen-, Fehler-, Leistungs- und weitere Integrationstests.</x:v>
      </x:c>
      <x:c r="E16" s="54" t="str">
        <x:v>2</x:v>
      </x:c>
      <x:c r="F16" s="55" t="str">
        <x:v>IEC 61508-3, 7.5.2.2 c)</x:v>
      </x:c>
      <x:c r="G16" s="56" t="str"/>
      <x:c r="H16" s="58" t="str"/>
      <x:c r="I16" s="58" t="str">
        <x:v>Nicht vorgelegt</x:v>
      </x:c>
      <x:c r="J16" s="56" t="str"/>
      <x:c r="K16" s="56" t="str"/>
    </x:row>
    <x:row r="17" ht="60" customHeight="1">
      <x:c r="A17" s="54" t="str">
        <x:v>D10</x:v>
      </x:c>
      <x:c r="B17" s="54" t="str">
        <x:v>Eingabe / Ausgabe</x:v>
      </x:c>
      <x:c r="C17" s="55" t="str">
        <x:v>Testumgebung, Werkzeuge, Hilfssoftware und Konfiguration</x:v>
      </x:c>
      <x:c r="D17" s="55" t="str">
        <x:v>Kennzeichnet die für reproduzierbare Integrationstests erforderliche Umgebung.</x:v>
      </x:c>
      <x:c r="E17" s="54" t="str">
        <x:v>2, 8</x:v>
      </x:c>
      <x:c r="F17" s="55" t="str">
        <x:v>IEC 61508-3, 7.5.2.2 d)</x:v>
      </x:c>
      <x:c r="G17" s="56" t="str"/>
      <x:c r="H17" s="58" t="str"/>
      <x:c r="I17" s="58" t="str">
        <x:v>Nicht vorgelegt</x:v>
      </x:c>
      <x:c r="J17" s="56" t="str"/>
      <x:c r="K17" s="56" t="str"/>
    </x:row>
    <x:row r="18" ht="60" customHeight="1">
      <x:c r="A18" s="54" t="str">
        <x:v>D11</x:v>
      </x:c>
      <x:c r="B18" s="54" t="str">
        <x:v>Ausgabe</x:v>
      </x:c>
      <x:c r="C18" s="55" t="str">
        <x:v>Kriterien für Testdurchführung und Zielerreichung</x:v>
      </x:c>
      <x:c r="D18" s="55" t="str">
        <x:v>Definiert Vollständigkeit, bestanden/nicht bestanden und Abschluss der Integrationstests.</x:v>
      </x:c>
      <x:c r="E18" s="54" t="str">
        <x:v>2, 8</x:v>
      </x:c>
      <x:c r="F18" s="55" t="str">
        <x:v>IEC 61508-3, 7.5.2.2 e) und 7.5.2.8</x:v>
      </x:c>
      <x:c r="G18" s="56" t="str"/>
      <x:c r="H18" s="58" t="str"/>
      <x:c r="I18" s="58" t="str">
        <x:v>Nicht vorgelegt</x:v>
      </x:c>
      <x:c r="J18" s="56" t="str"/>
      <x:c r="K18" s="56" t="str"/>
    </x:row>
    <x:row r="19" ht="60" customHeight="1">
      <x:c r="A19" s="54" t="str">
        <x:v>D12</x:v>
      </x:c>
      <x:c r="B19" s="54" t="str">
        <x:v>Ausgabe</x:v>
      </x:c>
      <x:c r="C19" s="55" t="str">
        <x:v>Zuordnung von Entwickler- und Anwenderstandort-Tätigkeiten</x:v>
      </x:c>
      <x:c r="D19" s="55" t="str">
        <x:v>Trennt lokal durchführbare Prüfungen von Tätigkeiten am Standort des Anwenders.</x:v>
      </x:c>
      <x:c r="E19" s="54" t="str">
        <x:v>3</x:v>
      </x:c>
      <x:c r="F19" s="55" t="str">
        <x:v>IEC 61508-3, 7.5.2.3</x:v>
      </x:c>
      <x:c r="G19" s="56" t="str"/>
      <x:c r="H19" s="58" t="str"/>
      <x:c r="I19" s="58" t="str">
        <x:v>Nicht vorgelegt</x:v>
      </x:c>
      <x:c r="J19" s="56" t="str"/>
      <x:c r="K19" s="56" t="str"/>
    </x:row>
    <x:row r="20" ht="60" customHeight="1">
      <x:c r="A20" s="54" t="str">
        <x:v>D13</x:v>
      </x:c>
      <x:c r="B20" s="54" t="str">
        <x:v>Ausgabe</x:v>
      </x:c>
      <x:c r="C20" s="55" t="str">
        <x:v>Einflussanalyse von Änderungen des integrierten Systems</x:v>
      </x:c>
      <x:c r="D20" s="55" t="str">
        <x:v>Ermittelt betroffene Softwaremodule und erforderliche Neuverifikation oder Neuentwicklung.</x:v>
      </x:c>
      <x:c r="E20" s="54" t="str">
        <x:v>6, 8</x:v>
      </x:c>
      <x:c r="F20" s="55" t="str">
        <x:v>IEC 61508-3, 7.5.2.6 und 7.5.2.8</x:v>
      </x:c>
      <x:c r="G20" s="56" t="str"/>
      <x:c r="H20" s="58" t="str"/>
      <x:c r="I20" s="58" t="str">
        <x:v>Nicht vorgelegt</x:v>
      </x:c>
      <x:c r="J20" s="56" t="str"/>
      <x:c r="K20" s="56" t="str"/>
    </x:row>
    <x:row r="21" ht="60" customHeight="1">
      <x:c r="A21" s="54" t="str">
        <x:v>D14</x:v>
      </x:c>
      <x:c r="B21" s="54" t="str">
        <x:v>Ausgabe</x:v>
      </x:c>
      <x:c r="C21" s="55" t="str">
        <x:v>Plan der Neuverifikation und des Neuentwurfs</x:v>
      </x:c>
      <x:c r="D21" s="55" t="str">
        <x:v>Legt die aus der Einflussanalyse folgenden Tätigkeiten fest.</x:v>
      </x:c>
      <x:c r="E21" s="54" t="str">
        <x:v>6, 8</x:v>
      </x:c>
      <x:c r="F21" s="55" t="str">
        <x:v>IEC 61508-3, 7.5.2.6 und 7.5.2.8</x:v>
      </x:c>
      <x:c r="G21" s="56" t="str"/>
      <x:c r="H21" s="58" t="str"/>
      <x:c r="I21" s="58" t="str">
        <x:v>Nicht vorgelegt</x:v>
      </x:c>
      <x:c r="J21" s="56" t="str"/>
      <x:c r="K21" s="56" t="str"/>
    </x:row>
    <x:row r="22" ht="60" customHeight="1">
      <x:c r="A22" s="54" t="str">
        <x:v>D15</x:v>
      </x:c>
      <x:c r="B22" s="54" t="str">
        <x:v>Ausgabe</x:v>
      </x:c>
      <x:c r="C22" s="55" t="str">
        <x:v>Integrationstestbericht und Abschlussurteil</x:v>
      </x:c>
      <x:c r="D22" s="55" t="str">
        <x:v>Dokumentiert Durchführung, Ergebnisse, Zielerreichung, Versagensgründe und Freigabe.</x:v>
      </x:c>
      <x:c r="E22" s="54" t="str">
        <x:v>7, 8</x:v>
      </x:c>
      <x:c r="F22" s="55" t="str">
        <x:v>IEC 61508-3, 7.5.2.7 und 7.5.2.8</x:v>
      </x:c>
      <x:c r="G22" s="56" t="str"/>
      <x:c r="H22" s="58" t="str"/>
      <x:c r="I22" s="58" t="str">
        <x:v>Nicht vorgelegt</x:v>
      </x:c>
      <x:c r="J22" s="56" t="str"/>
      <x:c r="K22" s="56" t="str"/>
    </x:row>
    <x:row r="23" ht="56" customHeight="1">
      <x:c r="A23" s="43"/>
      <x:c r="B23" s="43"/>
      <x:c r="C23" s="41"/>
      <x:c r="D23" s="41"/>
      <x:c r="E23" s="43"/>
      <x:c r="F23" s="41"/>
      <x:c r="G23" s="19"/>
      <x:c r="H23" s="44"/>
      <x:c r="I23" s="44"/>
      <x:c r="J23" s="19"/>
      <x:c r="K23" s="19"/>
    </x:row>
    <x:row r="24" ht="56" customHeight="1">
      <x:c r="A24" s="43"/>
      <x:c r="B24" s="43"/>
      <x:c r="C24" s="41"/>
      <x:c r="D24" s="41"/>
      <x:c r="E24" s="43"/>
      <x:c r="F24" s="41"/>
      <x:c r="G24" s="19"/>
      <x:c r="H24" s="44"/>
      <x:c r="I24" s="44"/>
      <x:c r="J24" s="19"/>
      <x:c r="K24" s="19"/>
    </x:row>
    <x:row r="25" ht="56" customHeight="1">
      <x:c r="A25" s="43"/>
      <x:c r="B25" s="43"/>
      <x:c r="C25" s="41"/>
      <x:c r="D25" s="41"/>
      <x:c r="E25" s="43"/>
      <x:c r="F25" s="41"/>
      <x:c r="G25" s="19"/>
      <x:c r="H25" s="44"/>
      <x:c r="I25" s="44"/>
      <x:c r="J25" s="19"/>
      <x:c r="K25" s="19"/>
    </x:row>
    <x:row r="26" ht="56" customHeight="1">
      <x:c r="A26" s="43"/>
      <x:c r="B26" s="43"/>
      <x:c r="C26" s="41"/>
      <x:c r="D26" s="41"/>
      <x:c r="E26" s="43"/>
      <x:c r="F26" s="41"/>
      <x:c r="G26" s="19"/>
      <x:c r="H26" s="44"/>
      <x:c r="I26" s="44"/>
      <x:c r="J26" s="19"/>
      <x:c r="K26" s="19"/>
    </x:row>
    <x:row r="27" ht="56" customHeight="1">
      <x:c r="A27" s="43"/>
      <x:c r="B27" s="43"/>
      <x:c r="C27" s="41"/>
      <x:c r="D27" s="41"/>
      <x:c r="E27" s="43"/>
      <x:c r="F27" s="41"/>
      <x:c r="G27" s="19"/>
      <x:c r="H27" s="44"/>
      <x:c r="I27" s="44"/>
      <x:c r="J27" s="19"/>
      <x:c r="K27" s="19"/>
    </x:row>
    <x:row r="28" ht="56" customHeight="1">
      <x:c r="A28" s="43"/>
      <x:c r="B28" s="43"/>
      <x:c r="C28" s="41"/>
      <x:c r="D28" s="41"/>
      <x:c r="E28" s="43"/>
      <x:c r="F28" s="41"/>
      <x:c r="G28" s="19"/>
      <x:c r="H28" s="44"/>
      <x:c r="I28" s="44"/>
      <x:c r="J28" s="19"/>
      <x:c r="K28" s="19"/>
    </x:row>
    <x:row r="29" ht="56" customHeight="1">
      <x:c r="A29" s="43"/>
      <x:c r="B29" s="43"/>
      <x:c r="C29" s="41"/>
      <x:c r="D29" s="41"/>
      <x:c r="E29" s="43"/>
      <x:c r="F29" s="41"/>
      <x:c r="G29" s="19"/>
      <x:c r="H29" s="44"/>
      <x:c r="I29" s="44"/>
      <x:c r="J29" s="19"/>
      <x:c r="K29" s="19"/>
    </x:row>
    <x:row r="30" ht="56" customHeight="1">
      <x:c r="A30" s="43"/>
      <x:c r="B30" s="43"/>
      <x:c r="C30" s="41"/>
      <x:c r="D30" s="41"/>
      <x:c r="E30" s="43"/>
      <x:c r="F30" s="41"/>
      <x:c r="G30" s="19"/>
      <x:c r="H30" s="44"/>
      <x:c r="I30" s="44"/>
      <x:c r="J30" s="19"/>
      <x:c r="K30" s="19"/>
    </x:row>
    <x:row r="31" ht="56" customHeight="1">
      <x:c r="A31" s="43"/>
      <x:c r="B31" s="43"/>
      <x:c r="C31" s="41"/>
      <x:c r="D31" s="41"/>
      <x:c r="E31" s="43"/>
      <x:c r="F31" s="41"/>
      <x:c r="G31" s="19"/>
      <x:c r="H31" s="44"/>
      <x:c r="I31" s="44"/>
      <x:c r="J31" s="19"/>
      <x:c r="K31" s="19"/>
    </x:row>
    <x:row r="32" ht="56" customHeight="1">
      <x:c r="A32" s="43"/>
      <x:c r="B32" s="43"/>
      <x:c r="C32" s="41"/>
      <x:c r="D32" s="41"/>
      <x:c r="E32" s="43"/>
      <x:c r="F32" s="41"/>
      <x:c r="G32" s="19"/>
      <x:c r="H32" s="44"/>
      <x:c r="I32" s="44"/>
      <x:c r="J32" s="19"/>
      <x:c r="K32" s="19"/>
    </x:row>
    <x:row r="33" ht="56" customHeight="1">
      <x:c r="A33" s="43"/>
      <x:c r="B33" s="43"/>
      <x:c r="C33" s="41"/>
      <x:c r="D33" s="41"/>
      <x:c r="E33" s="43"/>
      <x:c r="F33" s="41"/>
      <x:c r="G33" s="19"/>
      <x:c r="H33" s="44"/>
      <x:c r="I33" s="44"/>
      <x:c r="J33" s="19"/>
      <x:c r="K33" s="19"/>
    </x:row>
    <x:row r="34" ht="56" customHeight="1">
      <x:c r="A34" s="43"/>
      <x:c r="B34" s="43"/>
      <x:c r="C34" s="41"/>
      <x:c r="D34" s="41"/>
      <x:c r="E34" s="43"/>
      <x:c r="F34" s="41"/>
      <x:c r="G34" s="19"/>
      <x:c r="H34" s="44"/>
      <x:c r="I34" s="44"/>
      <x:c r="J34" s="19"/>
      <x:c r="K34" s="19"/>
    </x:row>
    <x:row r="35" ht="56" customHeight="1">
      <x:c r="A35" s="43"/>
      <x:c r="B35" s="43"/>
      <x:c r="C35" s="41"/>
      <x:c r="D35" s="41"/>
      <x:c r="E35" s="43"/>
      <x:c r="F35" s="41"/>
      <x:c r="G35" s="19"/>
      <x:c r="H35" s="44"/>
      <x:c r="I35" s="44"/>
      <x:c r="J35" s="19"/>
      <x:c r="K35" s="19"/>
    </x:row>
    <x:row r="36" ht="56" customHeight="1">
      <x:c r="A36" s="43"/>
      <x:c r="B36" s="43"/>
      <x:c r="C36" s="41"/>
      <x:c r="D36" s="41"/>
      <x:c r="E36" s="43"/>
      <x:c r="F36" s="41"/>
      <x:c r="G36" s="19"/>
      <x:c r="H36" s="44"/>
      <x:c r="I36" s="44"/>
      <x:c r="J36" s="19"/>
      <x:c r="K36" s="19"/>
    </x:row>
    <x:row r="37" ht="56" customHeight="1">
      <x:c r="A37" s="43"/>
      <x:c r="B37" s="43"/>
      <x:c r="C37" s="41"/>
      <x:c r="D37" s="41"/>
      <x:c r="E37" s="43"/>
      <x:c r="F37" s="41"/>
      <x:c r="G37" s="19"/>
      <x:c r="H37" s="44"/>
      <x:c r="I37" s="44"/>
      <x:c r="J37" s="19"/>
      <x:c r="K37" s="19"/>
    </x:row>
    <x:row r="38" ht="56" customHeight="1">
      <x:c r="A38" s="43"/>
      <x:c r="B38" s="43"/>
      <x:c r="C38" s="41"/>
      <x:c r="D38" s="41"/>
      <x:c r="E38" s="43"/>
      <x:c r="F38" s="41"/>
      <x:c r="G38" s="19"/>
      <x:c r="H38" s="44"/>
      <x:c r="I38" s="44"/>
      <x:c r="J38" s="19"/>
      <x:c r="K38" s="19"/>
    </x:row>
    <x:row r="39" ht="56" customHeight="1">
      <x:c r="A39" s="43"/>
      <x:c r="B39" s="43"/>
      <x:c r="C39" s="41"/>
      <x:c r="D39" s="41"/>
      <x:c r="E39" s="43"/>
      <x:c r="F39" s="41"/>
      <x:c r="G39" s="19"/>
      <x:c r="H39" s="44"/>
      <x:c r="I39" s="44"/>
      <x:c r="J39" s="19"/>
      <x:c r="K39" s="19"/>
    </x:row>
    <x:row r="40" ht="56" customHeight="1">
      <x:c r="A40" s="43"/>
      <x:c r="B40" s="43"/>
      <x:c r="C40" s="41"/>
      <x:c r="D40" s="41"/>
      <x:c r="E40" s="43"/>
      <x:c r="F40" s="41"/>
      <x:c r="G40" s="19"/>
      <x:c r="H40" s="44"/>
      <x:c r="I40" s="44"/>
      <x:c r="J40" s="19"/>
      <x:c r="K40" s="19"/>
    </x:row>
    <x:row r="41" ht="56" customHeight="1">
      <x:c r="A41" s="43"/>
      <x:c r="B41" s="43"/>
      <x:c r="C41" s="41"/>
      <x:c r="D41" s="41"/>
      <x:c r="E41" s="43"/>
      <x:c r="F41" s="41"/>
      <x:c r="G41" s="19"/>
      <x:c r="H41" s="44"/>
      <x:c r="I41" s="44"/>
      <x:c r="J41" s="19"/>
      <x:c r="K41" s="19"/>
    </x:row>
    <x:row r="42" ht="56" customHeight="1">
      <x:c r="A42" s="43"/>
      <x:c r="B42" s="43"/>
      <x:c r="C42" s="41"/>
      <x:c r="D42" s="41"/>
      <x:c r="E42" s="43"/>
      <x:c r="F42" s="41"/>
      <x:c r="G42" s="19"/>
      <x:c r="H42" s="44"/>
      <x:c r="I42" s="44"/>
      <x:c r="J42" s="19"/>
      <x:c r="K42" s="19"/>
    </x:row>
    <x:row r="43" ht="56" customHeight="1">
      <x:c r="A43" s="43"/>
      <x:c r="B43" s="43"/>
      <x:c r="C43" s="41"/>
      <x:c r="D43" s="41"/>
      <x:c r="E43" s="43"/>
      <x:c r="F43" s="41"/>
      <x:c r="G43" s="19"/>
      <x:c r="H43" s="44"/>
      <x:c r="I43" s="44"/>
      <x:c r="J43" s="19"/>
      <x:c r="K43" s="19"/>
    </x:row>
    <x:row r="44" ht="56" customHeight="1">
      <x:c r="A44" s="43"/>
      <x:c r="B44" s="43"/>
      <x:c r="C44" s="41"/>
      <x:c r="D44" s="41"/>
      <x:c r="E44" s="43"/>
      <x:c r="F44" s="41"/>
      <x:c r="G44" s="19"/>
      <x:c r="H44" s="44"/>
      <x:c r="I44" s="44"/>
      <x:c r="J44" s="19"/>
      <x:c r="K44" s="19"/>
    </x:row>
    <x:row r="45">
      <x:c r="A45" s="2"/>
      <x:c r="B45" s="2"/>
      <x:c r="C45" s="2"/>
      <x:c r="D45" s="2"/>
      <x:c r="E45" s="2"/>
      <x:c r="F45" s="2"/>
      <x:c r="G45" s="2"/>
      <x:c r="H45" s="2"/>
      <x:c r="I45" s="2"/>
      <x:c r="J45" s="2"/>
      <x:c r="K45" s="2"/>
    </x:row>
  </x:sheetData>
  <x:mergeCells>
    <x:mergeCell ref="A1:K2"/>
    <x:mergeCell ref="A3:K3"/>
  </x:mergeCells>
  <x:conditionalFormatting sqref="B8:B44">
    <x:cfRule type="expression" dxfId="4" priority="1">
      <x:formula>B8="Eingabe"</x:formula>
    </x:cfRule>
    <x:cfRule type="expression" dxfId="5" priority="2">
      <x:formula>B8="Ausgabe"</x:formula>
    </x:cfRule>
    <x:cfRule type="expression" dxfId="6" priority="3">
      <x:formula>B8="Eingabe / Ausgabe"</x:formula>
    </x:cfRule>
  </x:conditionalFormatting>
  <x:conditionalFormatting sqref="I8:I44">
    <x:cfRule type="expression" dxfId="7" priority="4">
      <x:formula>I8="Geprüft"</x:formula>
    </x:cfRule>
    <x:cfRule type="expression" dxfId="8" priority="5">
      <x:formula>I8="Freigegeben"</x:formula>
    </x:cfRule>
    <x:cfRule type="expression" dxfId="9" priority="6">
      <x:formula>I8="Nicht vorgelegt"</x:formula>
    </x:cfRule>
  </x:conditionalFormatting>
  <x:dataValidations count="2">
    <x:dataValidation type="list" sqref="I8:I44">
      <x:formula1>"Nicht vorgelegt,Vorgelegt,In Prüfung,Geprüft,Freigegeben,Nicht anwendbar"</x:formula1>
    </x:dataValidation>
    <x:dataValidation type="list" sqref="I8:I22">
      <x:formula1>"Nicht vorgelegt,Vorgelegt,In Prüfung,Geprüft,Freigegeben,Nicht anwendbar"</x:formula1>
    </x:dataValidation>
  </x:dataValidations>
  <x:pageMargins left="0.7" right="0.7" top="0.75" bottom="0.75" header="0.3" footer="0.3"/>
  <x:tableParts count="1">
    <x:tablePart xmlns:r="http://schemas.openxmlformats.org/officeDocument/2006/relationships" r:id="Rd8c0f710aff9494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58" hidden="0" customWidth="1"/>
    <x:col min="4" max="4" width="18" hidden="0" customWidth="1"/>
    <x:col min="5" max="5" width="22" hidden="0" customWidth="1"/>
    <x:col min="6" max="6" width="14" hidden="0" customWidth="1"/>
    <x:col min="7" max="7" width="20" hidden="0" customWidth="1"/>
  </x:cols>
  <x:sheetData>
    <x:row r="1" ht="34" customHeight="1">
      <x:c r="A1" s="6" t="str">
        <x:v>Review-Ergebnisse und durchzuführende Maßnahmen</x:v>
      </x:c>
      <x:c r="B1" s="6" t="str">
        <x:v>Review-Ergebnisse und durchzuführende Maßnahmen</x:v>
      </x:c>
      <x:c r="C1" s="6" t="str">
        <x:v>Review-Ergebnisse und durchzuführende Maßnahmen</x:v>
      </x:c>
      <x:c r="D1" s="6" t="str">
        <x:v>Review-Ergebnisse und durchzuführende Maßnahmen</x:v>
      </x:c>
      <x:c r="E1" s="6" t="str">
        <x:v>Review-Ergebnisse und durchzuführende Maßnahmen</x:v>
      </x:c>
      <x:c r="F1" s="6" t="str">
        <x:v>Review-Ergebnisse und durchzuführende Maßnahmen</x:v>
      </x:c>
      <x:c r="G1" s="6" t="str">
        <x:v>Review-Ergebnisse und durchzuführende Maßnahmen</x:v>
      </x:c>
    </x:row>
    <x:row r="2" ht="34" customHeight="1">
      <x:c r="A2" s="6" t="str">
        <x:v>Review-Ergebnisse und durchzuführende Maßnahmen</x:v>
      </x:c>
      <x:c r="B2" s="6" t="str">
        <x:v>Review-Ergebnisse und durchzuführende Maßnahmen</x:v>
      </x:c>
      <x:c r="C2" s="6" t="str">
        <x:v>Review-Ergebnisse und durchzuführende Maßnahmen</x:v>
      </x:c>
      <x:c r="D2" s="6" t="str">
        <x:v>Review-Ergebnisse und durchzuführende Maßnahmen</x:v>
      </x:c>
      <x:c r="E2" s="6" t="str">
        <x:v>Review-Ergebnisse und durchzuführende Maßnahmen</x:v>
      </x:c>
      <x:c r="F2" s="6" t="str">
        <x:v>Review-Ergebnisse und durchzuführende Maßnahmen</x:v>
      </x:c>
      <x:c r="G2" s="6" t="str">
        <x:v>Review-Ergebnisse und durchzuführende Maßnahmen</x:v>
      </x:c>
    </x:row>
    <x:row r="3">
      <x:c r="A3" s="8" t="str">
        <x:v>A = Aufgabe · I = Information · B = Beschluss. Der Bezug zum Prüfpunkt ermöglicht die direkte Rückverfolgung.</x:v>
      </x:c>
      <x:c r="B3" s="8"/>
      <x:c r="C3" s="8"/>
      <x:c r="D3" s="8"/>
      <x:c r="E3" s="8"/>
      <x:c r="F3" s="8"/>
      <x:c r="G3" s="8"/>
    </x:row>
    <x:row r="4">
      <x:c r="A4" s="2"/>
      <x:c r="B4" s="2"/>
      <x:c r="C4" s="2"/>
      <x:c r="D4" s="2"/>
      <x:c r="E4" s="2"/>
      <x:c r="F4" s="2"/>
      <x:c r="G4" s="2"/>
    </x:row>
    <x:row r="5">
      <x:c r="A5" s="40" t="str">
        <x:v>ID</x:v>
      </x:c>
      <x:c r="B5" s="40" t="str">
        <x:v>Typ</x:v>
      </x:c>
      <x:c r="C5" s="40" t="str">
        <x:v>Review-Ergebnis / Maßnahme</x:v>
      </x:c>
      <x:c r="D5" s="40" t="str">
        <x:v>Bezug Prüfpunkt</x:v>
      </x:c>
      <x:c r="E5" s="40" t="str">
        <x:v>Verantwortlich</x:v>
      </x:c>
      <x:c r="F5" s="40" t="str">
        <x:v>Fällig am</x:v>
      </x:c>
      <x:c r="G5" s="40" t="str">
        <x:v>Status</x:v>
      </x:c>
    </x:row>
    <x:row r="6" ht="34" customHeight="1">
      <x:c r="A6" s="40" t="str">
        <x:v>M-01</x:v>
      </x:c>
      <x:c r="B6" s="19" t="str"/>
      <x:c r="C6" s="19" t="str"/>
      <x:c r="D6" s="19" t="str"/>
      <x:c r="E6" s="19" t="str"/>
      <x:c r="F6" s="20" t="str"/>
      <x:c r="G6" s="19" t="str">
        <x:v>Offen</x:v>
      </x:c>
    </x:row>
    <x:row r="7" ht="34" customHeight="1">
      <x:c r="A7" s="40" t="str">
        <x:v>M-02</x:v>
      </x:c>
      <x:c r="B7" s="19" t="str"/>
      <x:c r="C7" s="19" t="str"/>
      <x:c r="D7" s="19" t="str"/>
      <x:c r="E7" s="19" t="str"/>
      <x:c r="F7" s="20" t="str"/>
      <x:c r="G7" s="19" t="str">
        <x:v>Offen</x:v>
      </x:c>
    </x:row>
    <x:row r="8" ht="34" customHeight="1">
      <x:c r="A8" s="40" t="str">
        <x:v>M-03</x:v>
      </x:c>
      <x:c r="B8" s="19" t="str"/>
      <x:c r="C8" s="19" t="str"/>
      <x:c r="D8" s="19" t="str"/>
      <x:c r="E8" s="19" t="str"/>
      <x:c r="F8" s="20" t="str"/>
      <x:c r="G8" s="19" t="str">
        <x:v>Offen</x:v>
      </x:c>
    </x:row>
    <x:row r="9" ht="34" customHeight="1">
      <x:c r="A9" s="40" t="str">
        <x:v>M-04</x:v>
      </x:c>
      <x:c r="B9" s="19" t="str"/>
      <x:c r="C9" s="19" t="str"/>
      <x:c r="D9" s="19" t="str"/>
      <x:c r="E9" s="19" t="str"/>
      <x:c r="F9" s="20" t="str"/>
      <x:c r="G9" s="19" t="str">
        <x:v>Offen</x:v>
      </x:c>
    </x:row>
    <x:row r="10" ht="34" customHeight="1">
      <x:c r="A10" s="40" t="str">
        <x:v>M-05</x:v>
      </x:c>
      <x:c r="B10" s="19" t="str"/>
      <x:c r="C10" s="19" t="str"/>
      <x:c r="D10" s="19" t="str"/>
      <x:c r="E10" s="19" t="str"/>
      <x:c r="F10" s="20" t="str"/>
      <x:c r="G10" s="19" t="str">
        <x:v>Offen</x:v>
      </x:c>
    </x:row>
    <x:row r="11" ht="34" customHeight="1">
      <x:c r="A11" s="40" t="str">
        <x:v>M-06</x:v>
      </x:c>
      <x:c r="B11" s="19" t="str"/>
      <x:c r="C11" s="19" t="str"/>
      <x:c r="D11" s="19" t="str"/>
      <x:c r="E11" s="19" t="str"/>
      <x:c r="F11" s="20" t="str"/>
      <x:c r="G11" s="19" t="str">
        <x:v>Offen</x:v>
      </x:c>
    </x:row>
    <x:row r="12" ht="34" customHeight="1">
      <x:c r="A12" s="40" t="str">
        <x:v>M-07</x:v>
      </x:c>
      <x:c r="B12" s="19" t="str"/>
      <x:c r="C12" s="19" t="str"/>
      <x:c r="D12" s="19" t="str"/>
      <x:c r="E12" s="19" t="str"/>
      <x:c r="F12" s="20" t="str"/>
      <x:c r="G12" s="19" t="str">
        <x:v>Offen</x:v>
      </x:c>
    </x:row>
    <x:row r="13" ht="34" customHeight="1">
      <x:c r="A13" s="40" t="str">
        <x:v>M-08</x:v>
      </x:c>
      <x:c r="B13" s="19" t="str"/>
      <x:c r="C13" s="19" t="str"/>
      <x:c r="D13" s="19" t="str"/>
      <x:c r="E13" s="19" t="str"/>
      <x:c r="F13" s="20" t="str"/>
      <x:c r="G13" s="19" t="str">
        <x:v>Offen</x:v>
      </x:c>
    </x:row>
    <x:row r="14" ht="34" customHeight="1">
      <x:c r="A14" s="40" t="str">
        <x:v>M-09</x:v>
      </x:c>
      <x:c r="B14" s="19" t="str"/>
      <x:c r="C14" s="19" t="str"/>
      <x:c r="D14" s="19" t="str"/>
      <x:c r="E14" s="19" t="str"/>
      <x:c r="F14" s="20" t="str"/>
      <x:c r="G14" s="19" t="str">
        <x:v>Offen</x:v>
      </x:c>
    </x:row>
    <x:row r="15" ht="34" customHeight="1">
      <x:c r="A15" s="40" t="str">
        <x:v>M-10</x:v>
      </x:c>
      <x:c r="B15" s="19" t="str"/>
      <x:c r="C15" s="19" t="str"/>
      <x:c r="D15" s="19" t="str"/>
      <x:c r="E15" s="19" t="str"/>
      <x:c r="F15" s="20" t="str"/>
      <x:c r="G15" s="19" t="str">
        <x:v>Offen</x:v>
      </x:c>
    </x:row>
    <x:row r="16" ht="34" customHeight="1">
      <x:c r="A16" s="40" t="str">
        <x:v>M-11</x:v>
      </x:c>
      <x:c r="B16" s="19" t="str"/>
      <x:c r="C16" s="19" t="str"/>
      <x:c r="D16" s="19" t="str"/>
      <x:c r="E16" s="19" t="str"/>
      <x:c r="F16" s="20" t="str"/>
      <x:c r="G16" s="19" t="str">
        <x:v>Offen</x:v>
      </x:c>
    </x:row>
    <x:row r="17" ht="34" customHeight="1">
      <x:c r="A17" s="40" t="str">
        <x:v>M-12</x:v>
      </x:c>
      <x:c r="B17" s="19" t="str"/>
      <x:c r="C17" s="19" t="str"/>
      <x:c r="D17" s="19" t="str"/>
      <x:c r="E17" s="19" t="str"/>
      <x:c r="F17" s="20" t="str"/>
      <x:c r="G17" s="19" t="str">
        <x:v>Offen</x:v>
      </x:c>
    </x:row>
    <x:row r="18" ht="34" customHeight="1">
      <x:c r="A18" s="40" t="str">
        <x:v>M-13</x:v>
      </x:c>
      <x:c r="B18" s="19" t="str"/>
      <x:c r="C18" s="19" t="str"/>
      <x:c r="D18" s="19" t="str"/>
      <x:c r="E18" s="19" t="str"/>
      <x:c r="F18" s="20" t="str"/>
      <x:c r="G18" s="19" t="str">
        <x:v>Offen</x:v>
      </x:c>
    </x:row>
    <x:row r="19" ht="34" customHeight="1">
      <x:c r="A19" s="40" t="str">
        <x:v>M-14</x:v>
      </x:c>
      <x:c r="B19" s="19" t="str"/>
      <x:c r="C19" s="19" t="str"/>
      <x:c r="D19" s="19" t="str"/>
      <x:c r="E19" s="19" t="str"/>
      <x:c r="F19" s="20" t="str"/>
      <x:c r="G19" s="19" t="str">
        <x:v>Offen</x:v>
      </x:c>
    </x:row>
    <x:row r="20" ht="34" customHeight="1">
      <x:c r="A20" s="40" t="str">
        <x:v>M-15</x:v>
      </x:c>
      <x:c r="B20" s="19" t="str"/>
      <x:c r="C20" s="19" t="str"/>
      <x:c r="D20" s="19" t="str"/>
      <x:c r="E20" s="19" t="str"/>
      <x:c r="F20" s="20" t="str"/>
      <x:c r="G20" s="19" t="str">
        <x:v>Offen</x:v>
      </x:c>
    </x:row>
    <x:row r="21" ht="34" customHeight="1">
      <x:c r="A21" s="40" t="str">
        <x:v>M-16</x:v>
      </x:c>
      <x:c r="B21" s="19" t="str"/>
      <x:c r="C21" s="19" t="str"/>
      <x:c r="D21" s="19" t="str"/>
      <x:c r="E21" s="19" t="str"/>
      <x:c r="F21" s="20" t="str"/>
      <x:c r="G21" s="19" t="str">
        <x:v>Offen</x:v>
      </x:c>
    </x:row>
    <x:row r="22" ht="34" customHeight="1">
      <x:c r="A22" s="40" t="str">
        <x:v>M-17</x:v>
      </x:c>
      <x:c r="B22" s="19" t="str"/>
      <x:c r="C22" s="19" t="str"/>
      <x:c r="D22" s="19" t="str"/>
      <x:c r="E22" s="19" t="str"/>
      <x:c r="F22" s="20" t="str"/>
      <x:c r="G22" s="19" t="str">
        <x:v>Offen</x:v>
      </x:c>
    </x:row>
    <x:row r="23" ht="34" customHeight="1">
      <x:c r="A23" s="40" t="str">
        <x:v>M-18</x:v>
      </x:c>
      <x:c r="B23" s="19" t="str"/>
      <x:c r="C23" s="19" t="str"/>
      <x:c r="D23" s="19" t="str"/>
      <x:c r="E23" s="19" t="str"/>
      <x:c r="F23" s="20" t="str"/>
      <x:c r="G23" s="19" t="str">
        <x:v>Offen</x:v>
      </x:c>
    </x:row>
    <x:row r="24" ht="34" customHeight="1">
      <x:c r="A24" s="40" t="str">
        <x:v>M-19</x:v>
      </x:c>
      <x:c r="B24" s="19" t="str"/>
      <x:c r="C24" s="19" t="str"/>
      <x:c r="D24" s="19" t="str"/>
      <x:c r="E24" s="19" t="str"/>
      <x:c r="F24" s="20" t="str"/>
      <x:c r="G24" s="19" t="str">
        <x:v>Offen</x:v>
      </x:c>
    </x:row>
    <x:row r="25" ht="34" customHeight="1">
      <x:c r="A25" s="40" t="str">
        <x:v>M-20</x:v>
      </x:c>
      <x:c r="B25" s="19" t="str"/>
      <x:c r="C25" s="19" t="str"/>
      <x:c r="D25" s="19" t="str"/>
      <x:c r="E25" s="19" t="str"/>
      <x:c r="F25" s="20" t="str"/>
      <x:c r="G25" s="19" t="str">
        <x:v>Offen</x:v>
      </x:c>
    </x:row>
    <x:row r="26">
      <x:c r="A26" s="2"/>
      <x:c r="B26" s="2"/>
      <x:c r="C26" s="2"/>
      <x:c r="D26" s="2"/>
      <x:c r="E26" s="2"/>
      <x:c r="F26" s="2"/>
      <x:c r="G26" s="2"/>
    </x:row>
    <x:row r="27">
      <x:c r="A27" s="2"/>
      <x:c r="B27" s="2"/>
      <x:c r="C27" s="2"/>
      <x:c r="D27" s="2"/>
      <x:c r="E27" s="2"/>
      <x:c r="F27" s="2"/>
      <x:c r="G27" s="2"/>
    </x:row>
    <x:row r="28">
      <x:c r="A28" s="2"/>
      <x:c r="B28" s="2"/>
      <x:c r="C28" s="2"/>
      <x:c r="D28" s="2"/>
      <x:c r="E28" s="2"/>
      <x:c r="F28" s="2"/>
      <x:c r="G28" s="2"/>
    </x:row>
    <x:row r="29">
      <x:c r="A29" s="2"/>
      <x:c r="B29" s="2"/>
      <x:c r="C29" s="2"/>
      <x:c r="D29" s="2"/>
      <x:c r="E29" s="2"/>
      <x:c r="F29" s="2"/>
      <x:c r="G29" s="2"/>
    </x:row>
    <x:row r="30">
      <x:c r="A30" s="2"/>
      <x:c r="B30" s="2"/>
      <x:c r="C30" s="2"/>
      <x:c r="D30" s="2"/>
      <x:c r="E30" s="2"/>
      <x:c r="F30" s="2"/>
      <x:c r="G30" s="2"/>
    </x:row>
    <x:row r="31">
      <x:c r="A31" s="2"/>
      <x:c r="B31" s="2"/>
      <x:c r="C31" s="2"/>
      <x:c r="D31" s="2"/>
      <x:c r="E31" s="2"/>
      <x:c r="F31" s="2"/>
      <x:c r="G31" s="2"/>
    </x:row>
  </x:sheetData>
  <x:mergeCells>
    <x:mergeCell ref="A1:G2"/>
    <x:mergeCell ref="A3:G3"/>
  </x:mergeCells>
  <x:conditionalFormatting sqref="G6:G25">
    <x:cfRule type="expression" dxfId="10" priority="1">
      <x:formula>G6="Erledigt"</x:formula>
    </x:cfRule>
    <x:cfRule type="expression" dxfId="11" priority="2">
      <x:formula>G6="Offen"</x:formula>
    </x:cfRule>
  </x:conditionalFormatting>
  <x:dataValidations count="2">
    <x:dataValidation type="list" sqref="B6:B25">
      <x:formula1>"A,I,B"</x:formula1>
    </x:dataValidation>
    <x:dataValidation type="list" sqref="G6:G25">
      <x:formula1>"Offen,In Bearbeitung,Erledigt,Zurückgestellt"</x:formula1>
    </x:dataValidation>
  </x:dataValidations>
  <x:pageMargins left="0.7" right="0.7" top="0.75" bottom="0.75" header="0.3" footer="0.3"/>
  <x:tableParts count="1">
    <x:tablePart xmlns:r="http://schemas.openxmlformats.org/officeDocument/2006/relationships" r:id="R7fa2b7c34709496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22" hidden="0" customWidth="1"/>
    <x:col min="4" max="4" width="9" hidden="0" customWidth="1"/>
    <x:col min="5" max="5" width="9" hidden="0" customWidth="1"/>
    <x:col min="6" max="6" width="9" hidden="0" customWidth="1"/>
    <x:col min="7" max="7" width="72" hidden="0" customWidth="1"/>
    <x:col min="8" max="8" width="58" hidden="0" customWidth="1"/>
  </x:cols>
  <x:sheetData>
    <x:row r="1" ht="34" customHeight="1">
      <x:c r="A1" s="6" t="str">
        <x:v>Tabelle A.6 – Integration der programmierbaren Elektronik</x:v>
      </x:c>
      <x:c r="B1" s="6" t="str">
        <x:v>Tabelle A.6 – Integration der programmierbaren Elektronik</x:v>
      </x:c>
      <x:c r="C1" s="6" t="str">
        <x:v>Tabelle A.6 – Integration der programmierbaren Elektronik</x:v>
      </x:c>
      <x:c r="D1" s="6" t="str">
        <x:v>Tabelle A.6 – Integration der programmierbaren Elektronik</x:v>
      </x:c>
      <x:c r="E1" s="6" t="str">
        <x:v>Tabelle A.6 – Integration der programmierbaren Elektronik</x:v>
      </x:c>
      <x:c r="F1" s="6" t="str">
        <x:v>Tabelle A.6 – Integration der programmierbaren Elektronik</x:v>
      </x:c>
      <x:c r="G1" s="6" t="str">
        <x:v>Tabelle A.6 – Integration der programmierbaren Elektronik</x:v>
      </x:c>
      <x:c r="H1" s="6" t="str">
        <x:v>Tabelle A.6 – Integration der programmierbaren Elektronik</x:v>
      </x:c>
    </x:row>
    <x:row r="2" ht="34" customHeight="1">
      <x:c r="A2" s="6" t="str">
        <x:v>Tabelle A.6 – Integration der programmierbaren Elektronik</x:v>
      </x:c>
      <x:c r="B2" s="6" t="str">
        <x:v>Tabelle A.6 – Integration der programmierbaren Elektronik</x:v>
      </x:c>
      <x:c r="C2" s="6" t="str">
        <x:v>Tabelle A.6 – Integration der programmierbaren Elektronik</x:v>
      </x:c>
      <x:c r="D2" s="6" t="str">
        <x:v>Tabelle A.6 – Integration der programmierbaren Elektronik</x:v>
      </x:c>
      <x:c r="E2" s="6" t="str">
        <x:v>Tabelle A.6 – Integration der programmierbaren Elektronik</x:v>
      </x:c>
      <x:c r="F2" s="6" t="str">
        <x:v>Tabelle A.6 – Integration der programmierbaren Elektronik</x:v>
      </x:c>
      <x:c r="G2" s="6" t="str">
        <x:v>Tabelle A.6 – Integration der programmierbaren Elektronik</x:v>
      </x:c>
      <x:c r="H2" s="6" t="str">
        <x:v>Tabelle A.6 – Integration der programmierbaren Elektronik</x:v>
      </x:c>
    </x:row>
    <x:row r="3">
      <x:c r="A3" s="8" t="str">
        <x:v>Normnahe Erläuterungen und vollständige Referenzen; Anwendbarkeit für SIL 1 bis SIL 3.</x:v>
      </x:c>
      <x:c r="B3" s="8" t="str">
        <x:v>Normnahe Erläuterungen und vollständige Referenzen; Anwendbarkeit für SIL 1 bis SIL 3.</x:v>
      </x:c>
      <x:c r="C3" s="8" t="str">
        <x:v>Normnahe Erläuterungen und vollständige Referenzen; Anwendbarkeit für SIL 1 bis SIL 3.</x:v>
      </x:c>
      <x:c r="D3" s="8" t="str">
        <x:v>Normnahe Erläuterungen und vollständige Referenzen; Anwendbarkeit für SIL 1 bis SIL 3.</x:v>
      </x:c>
      <x:c r="E3" s="8" t="str">
        <x:v>Normnahe Erläuterungen und vollständige Referenzen; Anwendbarkeit für SIL 1 bis SIL 3.</x:v>
      </x:c>
      <x:c r="F3" s="8" t="str">
        <x:v>Normnahe Erläuterungen und vollständige Referenzen; Anwendbarkeit für SIL 1 bis SIL 3.</x:v>
      </x:c>
      <x:c r="G3" s="8" t="str">
        <x:v>Normnahe Erläuterungen und vollständige Referenzen; Anwendbarkeit für SIL 1 bis SIL 3.</x:v>
      </x:c>
      <x:c r="H3" s="8" t="str">
        <x:v>Normnahe Erläuterungen und vollständige Referenzen; Anwendbarkeit für SIL 1 bis SIL 3.</x:v>
      </x:c>
    </x:row>
    <x:row r="4">
      <x:c r="A4" s="2"/>
      <x:c r="B4" s="2"/>
      <x:c r="C4" s="2"/>
      <x:c r="D4" s="2"/>
      <x:c r="E4" s="2"/>
      <x:c r="F4" s="2"/>
      <x:c r="G4" s="2"/>
      <x:c r="H4" s="2"/>
    </x:row>
    <x:row r="5">
      <x:c r="A5" s="40" t="str">
        <x:v>Nr.</x:v>
      </x:c>
      <x:c r="B5" s="40" t="str">
        <x:v>Verfahren / Maßnahme</x:v>
      </x:c>
      <x:c r="C5" s="40" t="str">
        <x:v>Siehe</x:v>
      </x:c>
      <x:c r="D5" s="40" t="str">
        <x:v>SIL 1</x:v>
      </x:c>
      <x:c r="E5" s="40" t="str">
        <x:v>SIL 2</x:v>
      </x:c>
      <x:c r="F5" s="40" t="str">
        <x:v>SIL 3</x:v>
      </x:c>
      <x:c r="G5" s="40" t="str">
        <x:v>Erläuterung</x:v>
      </x:c>
      <x:c r="H5" s="40" t="str">
        <x:v>Normreferenz</x:v>
      </x:c>
    </x:row>
    <x:row r="6" ht="100" customHeight="1">
      <x:c r="A6" s="54" t="str">
        <x:v>1</x:v>
      </x:c>
      <x:c r="B6" s="59" t="str">
        <x:v>Tabelle A.6 – Integration der programmierbaren Elektronik – Architektur und Eigenschaften des Entwurfs
Funktionstest und Black-Box-Test</x:v>
      </x:c>
      <x:c r="C6" s="54" t="str">
        <x:v>B.5.1, B.5.2, Tabelle B.3</x:v>
      </x:c>
      <x:c r="D6" s="54" t="str">
        <x:v>++</x:v>
      </x:c>
      <x:c r="E6" s="54" t="str">
        <x:v>++</x:v>
      </x:c>
      <x:c r="F6" s="54" t="str">
        <x:v>++</x:v>
      </x:c>
      <x:c r="G6" s="57" t="str">
        <x:v>Beim Funktionstest wird geprüft, ob die integrierte Hardware-/Software-Einheit die festgelegten Funktionen im vorgesehenen Normalbetrieb erfüllt. Der Black-Box-Test leitet die Prüfdaten ausschließlich aus der Spezifikation ab und vergleicht beobachtete mit erwarteten Ausgaben, ohne die interne Implementierung vorauszusetzen. Im Review müssen repräsentative Betriebsfälle, Grenz- und Fehlerfälle, die konkrete Zielhardware, die Testkonfiguration sowie dokumentierte Soll-/Ist-Ergebnisse nachvollziehbar sein.</x:v>
      </x:c>
      <x:c r="H6" s="57" t="str">
        <x:v>IEC 61508-7, B.5.1 und B.5.2; IEC 61508-3, Tabelle B.3</x:v>
      </x:c>
    </x:row>
    <x:row r="7" ht="100" customHeight="1">
      <x:c r="A7" s="54" t="str">
        <x:v>2</x:v>
      </x:c>
      <x:c r="B7" s="59" t="str">
        <x:v>Tabelle A.6 – Integration der programmierbaren Elektronik – Architektur und Eigenschaften des Entwurfs
Leistungstest</x:v>
      </x:c>
      <x:c r="C7" s="54" t="str">
        <x:v>Tabelle B.6</x:v>
      </x:c>
      <x:c r="D7" s="54" t="str">
        <x:v>+</x:v>
      </x:c>
      <x:c r="E7" s="54" t="str">
        <x:v>+</x:v>
      </x:c>
      <x:c r="F7" s="54" t="str">
        <x:v>++</x:v>
      </x:c>
      <x:c r="G7" s="57" t="str">
        <x:v>Der Leistungstest zeigt, ob das integrierte System seine zeitlichen und ressourcenbezogenen Anforderungen auch unter ungünstigen Bedingungen erfüllt. Dazu gehören insbesondere Reaktionszeiten, Durchsatz, Speicherbedarf, Belastungsgrenzen und das Verhalten bei hoher Ereignis- oder Datenlast. Als Nachweis sind messbare Erfolgskriterien, definierte Lastprofile, die verwendete Hardware-/Software-Konfiguration und die Ergebnisse für Normal- und Schlechtfallbedingungen zu dokumentieren.</x:v>
      </x:c>
      <x:c r="H7" s="57" t="str">
        <x:v>IEC 61508-3, Tabelle B.6; IEC 61508-7, C.5.19, C.5.21 und C.5.22</x:v>
      </x:c>
    </x:row>
    <x:row r="8" ht="100" customHeight="1">
      <x:c r="A8" s="54" t="str">
        <x:v>3</x:v>
      </x:c>
      <x:c r="B8" s="59" t="str">
        <x:v>Tabelle A.6 – Integration der programmierbaren Elektronik – Architektur und Eigenschaften des Entwurfs
Vorwärtsverfolgbarkeit von den Anforderungen an den System- und Softwareentwurf der Hardware-/Softwareintegration zu den Spezifikationen der Hardware-/Softwareintegrationstests</x:v>
      </x:c>
      <x:c r="C8" s="54" t="str">
        <x:v>C.2.11</x:v>
      </x:c>
      <x:c r="D8" s="54" t="str">
        <x:v>+</x:v>
      </x:c>
      <x:c r="E8" s="54" t="str">
        <x:v>+</x:v>
      </x:c>
      <x:c r="F8" s="54" t="str">
        <x:v>++</x:v>
      </x:c>
      <x:c r="G8" s="57" t="str">
        <x:v>Die Vorwärtsverfolgbarkeit weist nach, dass jede Anforderung an die Hardware-/Softwareintegration durch einen oder mehrere geeignete Integrationstests abgedeckt ist. Dadurch werden fehlende Prüfungen, nicht behandelte Schnittstellen und unklare Akzeptanzkriterien sichtbar. Im Review ist eine eindeutige Zuordnung von Anforderungskennungen zu Testspezifikation, Testfall, Testkonfiguration und Ergebnis zu erwarten.</x:v>
      </x:c>
      <x:c r="H8" s="57" t="str">
        <x:v>IEC 61508-7, C.2.11; IEC 61508-3, Tabelle A.6</x:v>
      </x:c>
    </x:row>
    <x:row r="9" ht="90" customHeight="1">
      <x:c r="A9" s="43"/>
      <x:c r="B9" s="49"/>
      <x:c r="C9" s="43"/>
      <x:c r="D9" s="43"/>
      <x:c r="E9" s="43"/>
      <x:c r="F9" s="43"/>
      <x:c r="G9" s="42"/>
      <x:c r="H9" s="42"/>
    </x:row>
    <x:row r="10" ht="90" customHeight="1">
      <x:c r="A10" s="43"/>
      <x:c r="B10" s="49"/>
      <x:c r="C10" s="43"/>
      <x:c r="D10" s="43"/>
      <x:c r="E10" s="43"/>
      <x:c r="F10" s="43"/>
      <x:c r="G10" s="42"/>
      <x:c r="H10" s="42"/>
    </x:row>
    <x:row r="11" ht="90" customHeight="1">
      <x:c r="A11" s="43"/>
      <x:c r="B11" s="49"/>
      <x:c r="C11" s="43"/>
      <x:c r="D11" s="43"/>
      <x:c r="E11" s="43"/>
      <x:c r="F11" s="43"/>
      <x:c r="G11" s="42"/>
      <x:c r="H11" s="42"/>
    </x:row>
    <x:row r="12" ht="90" customHeight="1">
      <x:c r="A12" s="43"/>
      <x:c r="B12" s="49"/>
      <x:c r="C12" s="43"/>
      <x:c r="D12" s="43"/>
      <x:c r="E12" s="43"/>
      <x:c r="F12" s="43"/>
      <x:c r="G12" s="42"/>
      <x:c r="H12" s="42"/>
    </x:row>
    <x:row r="13" ht="90" customHeight="1">
      <x:c r="A13" s="43"/>
      <x:c r="B13" s="49"/>
      <x:c r="C13" s="43"/>
      <x:c r="D13" s="43"/>
      <x:c r="E13" s="43"/>
      <x:c r="F13" s="43"/>
      <x:c r="G13" s="42"/>
      <x:c r="H13" s="42"/>
    </x:row>
    <x:row r="14" ht="90" customHeight="1">
      <x:c r="A14" s="43"/>
      <x:c r="B14" s="49"/>
      <x:c r="C14" s="43"/>
      <x:c r="D14" s="43"/>
      <x:c r="E14" s="43"/>
      <x:c r="F14" s="43"/>
      <x:c r="G14" s="42"/>
      <x:c r="H14" s="42"/>
    </x:row>
    <x:row r="15" ht="90" customHeight="1">
      <x:c r="A15" s="43"/>
      <x:c r="B15" s="49"/>
      <x:c r="C15" s="43"/>
      <x:c r="D15" s="43"/>
      <x:c r="E15" s="43"/>
      <x:c r="F15" s="43"/>
      <x:c r="G15" s="42"/>
      <x:c r="H15" s="4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sheetData>
  <x:mergeCells>
    <x:mergeCell ref="A1:H2"/>
    <x:mergeCell ref="A3:H3"/>
  </x:mergeCells>
  <x:pageMargins left="0.7" right="0.7" top="0.75" bottom="0.75" header="0.3" footer="0.3"/>
  <x:tableParts count="1">
    <x:tablePart xmlns:r="http://schemas.openxmlformats.org/officeDocument/2006/relationships" r:id="R652db59014ce49f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48" hidden="0" customWidth="1"/>
    <x:col min="4" max="4" width="38" hidden="0" customWidth="1"/>
  </x:cols>
  <x:sheetData>
    <x:row r="1" ht="34" customHeight="1">
      <x:c r="A1" s="6" t="str">
        <x:v>Legende und Anwendungshinweise</x:v>
      </x:c>
      <x:c r="B1" s="6" t="str">
        <x:v>Legende und Anwendungshinweise</x:v>
      </x:c>
      <x:c r="C1" s="6" t="str">
        <x:v>Legende und Anwendungshinweise</x:v>
      </x:c>
      <x:c r="D1" s="6" t="str">
        <x:v>Legende und Anwendungshinweise</x:v>
      </x:c>
    </x:row>
    <x:row r="2" ht="34" customHeight="1">
      <x:c r="A2" s="6" t="str">
        <x:v>Legende und Anwendungshinweise</x:v>
      </x:c>
      <x:c r="B2" s="6" t="str">
        <x:v>Legende und Anwendungshinweise</x:v>
      </x:c>
      <x:c r="C2" s="6" t="str">
        <x:v>Legende und Anwendungshinweise</x:v>
      </x:c>
      <x:c r="D2" s="6" t="str">
        <x:v>Legende und Anwendungshinweise</x:v>
      </x:c>
    </x:row>
    <x:row r="3">
      <x:c r="A3" s="2"/>
      <x:c r="B3" s="2"/>
      <x:c r="C3" s="2"/>
      <x:c r="D3" s="2"/>
    </x:row>
    <x:row r="4" ht="24" customHeight="1">
      <x:c r="A4" s="12" t="str">
        <x:v>Empfehlungsgrade nach IEC 61508</x:v>
      </x:c>
      <x:c r="B4" s="12" t="str">
        <x:v>Empfehlungsgrade nach IEC 61508</x:v>
      </x:c>
      <x:c r="C4" s="12" t="str">
        <x:v>Empfehlungsgrade nach IEC 61508</x:v>
      </x:c>
      <x:c r="D4" s="12" t="str">
        <x:v>Empfehlungsgrade nach IEC 61508</x:v>
      </x:c>
    </x:row>
    <x:row r="5">
      <x:c r="A5" s="36" t="str">
        <x:v>Kennzeichen</x:v>
      </x:c>
      <x:c r="B5" s="36" t="str">
        <x:v>Bedeutung</x:v>
      </x:c>
      <x:c r="C5" s="36" t="str">
        <x:v>Anwendung im Review</x:v>
      </x:c>
      <x:c r="D5" s="36" t="str">
        <x:v>Geltungsbereich</x:v>
      </x:c>
    </x:row>
    <x:row r="6" ht="48" customHeight="1">
      <x:c r="A6" s="51" t="str">
        <x:v>++</x:v>
      </x:c>
      <x:c r="B6" s="36" t="str">
        <x:v>Für diesen SIL besonders empfohlen</x:v>
      </x:c>
      <x:c r="C6" s="36" t="str">
        <x:v>Bevorzugt anzuwenden; Nichtanwendung nachvollziehbar begründen.</x:v>
      </x:c>
      <x:c r="D6" s="36" t="str">
        <x:v>SIL 1 bis SIL 3 gemäß Tabelle A.9</x:v>
      </x:c>
    </x:row>
    <x:row r="7" ht="48" customHeight="1">
      <x:c r="A7" s="51" t="str">
        <x:v>+</x:v>
      </x:c>
      <x:c r="B7" s="36" t="str">
        <x:v>Für diesen SIL empfohlen</x:v>
      </x:c>
      <x:c r="C7" s="36" t="str">
        <x:v>Anwendung einplanen oder eine geeignete Alternative begründen.</x:v>
      </x:c>
      <x:c r="D7" s="36" t="str">
        <x:v>SIL 1 bis SIL 3 gemäß Tabelle A.9</x:v>
      </x:c>
    </x:row>
    <x:row r="8" ht="48" customHeight="1">
      <x:c r="A8" s="51" t="str">
        <x:v>O</x:v>
      </x:c>
      <x:c r="B8" s="36" t="str">
        <x:v>Keine Empfehlung für oder gegen die Anwendung</x:v>
      </x:c>
      <x:c r="C8" s="36" t="str">
        <x:v>Einsatz projektspezifisch bewerten und dokumentieren.</x:v>
      </x:c>
      <x:c r="D8" s="36" t="str">
        <x:v>SIL 1 bis SIL 3 gemäß Tabelle A.9</x:v>
      </x:c>
    </x:row>
    <x:row r="9" ht="48" customHeight="1">
      <x:c r="A9" s="51" t="str">
        <x:v>--</x:v>
      </x:c>
      <x:c r="B9" s="36" t="str">
        <x:v>Für diesen SIL nicht empfohlen</x:v>
      </x:c>
      <x:c r="C9" s="36" t="str">
        <x:v>Nur mit belastbarer Begründung und geeigneten zusätzlichen Maßnahmen einsetzen.</x:v>
      </x:c>
      <x:c r="D9" s="36" t="str">
        <x:v>SIL 1 bis SIL 3 gemäß Tabelle A.9</x:v>
      </x:c>
    </x:row>
    <x:row r="10">
      <x:c r="A10" s="2"/>
      <x:c r="B10" s="2"/>
      <x:c r="C10" s="2"/>
      <x:c r="D10" s="2"/>
    </x:row>
    <x:row r="11" ht="24" customHeight="1">
      <x:c r="A11" s="12" t="str">
        <x:v>Arbeitsweise</x:v>
      </x:c>
      <x:c r="B11" s="12" t="str">
        <x:v>Arbeitsweise</x:v>
      </x:c>
      <x:c r="C11" s="12" t="str">
        <x:v>Arbeitsweise</x:v>
      </x:c>
      <x:c r="D11" s="12" t="str">
        <x:v>Arbeitsweise</x:v>
      </x:c>
    </x:row>
    <x:row r="12">
      <x:c r="A12" s="36" t="str">
        <x:v>Schritt</x:v>
      </x:c>
      <x:c r="B12" s="36" t="str">
        <x:v>Vorgehen</x:v>
      </x:c>
      <x:c r="C12" s="36" t="str">
        <x:v>Dokumentation</x:v>
      </x:c>
      <x:c r="D12" s="36" t="str">
        <x:v>Hinweis</x:v>
      </x:c>
    </x:row>
    <x:row r="13" ht="52" customHeight="1">
      <x:c r="A13" s="36" t="str">
        <x:v>1</x:v>
      </x:c>
      <x:c r="B13" s="36" t="str">
        <x:v>Reviewdaten auf dem Blatt „Übersicht“ ausfüllen.</x:v>
      </x:c>
      <x:c r="C13" s="36" t="str">
        <x:v>Projekt, Dokument, SIL, Teilnehmer und Termin erfassen.</x:v>
      </x:c>
      <x:c r="D13" s="36" t="str">
        <x:v>Gelbe Zellen sind Eingabefelder.</x:v>
      </x:c>
    </x:row>
    <x:row r="14" ht="52" customHeight="1">
      <x:c r="A14" s="36" t="str">
        <x:v>2</x:v>
      </x:c>
      <x:c r="B14" s="36" t="str">
        <x:v>Eingabe- und Ausgabedokumente registrieren.</x:v>
      </x:c>
      <x:c r="C14" s="36" t="str">
        <x:v>Dokumentkennung, Version, Status, Verantwortlichen und Ablageort eintragen.</x:v>
      </x:c>
      <x:c r="D14" s="36" t="str">
        <x:v>Die IDs D01 bis D15 sind für Kapitel 7.5 vorbereitet.</x:v>
      </x:c>
    </x:row>
    <x:row r="15" ht="52" customHeight="1">
      <x:c r="A15" s="36" t="str">
        <x:v>3</x:v>
      </x:c>
      <x:c r="B15" s="36" t="str">
        <x:v>Jeden Prüfpunkt auf dem Blatt „Review 7.5“ bewerten.</x:v>
      </x:c>
      <x:c r="C15" s="36" t="str">
        <x:v>Prüfergebnis konkret formulieren und die zugehörigen Dokument-IDs prüfen.</x:v>
      </x:c>
      <x:c r="D15" s="36" t="str">
        <x:v>Status / OK über das Auswahlfeld setzen.</x:v>
      </x:c>
    </x:row>
    <x:row r="16" ht="52" customHeight="1">
      <x:c r="A16" s="36" t="str">
        <x:v>4</x:v>
      </x:c>
      <x:c r="B16" s="36" t="str">
        <x:v>Abweichungen oder Beschlüsse auf „Maßnahmen“ übernehmen.</x:v>
      </x:c>
      <x:c r="C16" s="36" t="str">
        <x:v>Prüfpunkt, Verantwortlichen, Fälligkeit und Status eintragen.</x:v>
      </x:c>
      <x:c r="D16" s="36" t="str">
        <x:v>IDs M-01 bis M-20 sind vorbereitet.</x:v>
      </x:c>
    </x:row>
    <x:row r="17" ht="52" customHeight="1">
      <x:c r="A17" s="36" t="str">
        <x:v>5</x:v>
      </x:c>
      <x:c r="B17" s="36" t="str">
        <x:v>Verfahren aus „Anhang A.6“ SIL-bezogen berücksichtigen.</x:v>
      </x:c>
      <x:c r="C17" s="36" t="str">
        <x:v>Erläuterungen und Normreferenzen als Prüfhilfe verwenden.</x:v>
      </x:c>
      <x:c r="D17" s="36" t="str">
        <x:v>SIL 4 ist nicht Bestandteil dieser Arbeitsmappe.</x:v>
      </x:c>
    </x:row>
    <x:row r="18" ht="52" customHeight="1">
      <x:c r="A18" s="36" t="str">
        <x:v>6</x:v>
      </x:c>
      <x:c r="B18" s="36" t="str">
        <x:v>Gesamtergebnis auf „Übersicht“ festlegen.</x:v>
      </x:c>
      <x:c r="C18" s="36" t="str">
        <x:v>Ergebnis, Begründung und Zusammenfassung eintragen.</x:v>
      </x:c>
      <x:c r="D18" s="36" t="str">
        <x:v>Fortschrittskennzahlen werden automatisch berechnet.</x:v>
      </x:c>
    </x:row>
    <x:row r="19" ht="52" customHeight="1">
      <x:c r="A19" s="36" t="str">
        <x:v>7</x:v>
      </x:c>
      <x:c r="B19" s="36" t="str">
        <x:v>Teilnehmer auf „Unterschriften“ dokumentieren.</x:v>
      </x:c>
      <x:c r="C19" s="36" t="str">
        <x:v>Name, Funktion, Datum und Bestätigung eintragen.</x:v>
      </x:c>
      <x:c r="D19" s="36" t="str">
        <x:v>Kann digital oder nach Ausdruck verwendet werden.</x:v>
      </x:c>
    </x:row>
    <x:row r="20">
      <x:c r="A20" s="2"/>
      <x:c r="B20" s="2"/>
      <x:c r="C20" s="2"/>
      <x:c r="D20" s="2"/>
    </x:row>
    <x:row r="21">
      <x:c r="A21" s="53" t="str">
        <x:v>Quelle: IEC61508-3_Kap_7.5_Reviewprotokoll_Endfassung_2026-08-05.docx</x:v>
      </x:c>
      <x:c r="B21" s="53" t="str">
        <x:v>Quelle: IEC61508-3_Kap_7.5_Reviewprotokoll_Endfassung_2026-08-05.docx</x:v>
      </x:c>
      <x:c r="C21" s="53" t="str">
        <x:v>Quelle: IEC61508-3_Kap_7.5_Reviewprotokoll_Endfassung_2026-08-05.docx</x:v>
      </x:c>
      <x:c r="D21" s="53" t="str">
        <x:v>Quelle: IEC61508-3_Kap_7.5_Reviewprotokoll_Endfassung_2026-08-05.docx</x:v>
      </x:c>
    </x:row>
    <x:row r="22">
      <x:c r="A22" s="2"/>
      <x:c r="B22" s="2"/>
      <x:c r="C22" s="2"/>
      <x:c r="D22" s="2"/>
    </x:row>
    <x:row r="23">
      <x:c r="A23" s="2"/>
      <x:c r="B23" s="2"/>
      <x:c r="C23" s="2"/>
      <x:c r="D23" s="2"/>
    </x:row>
    <x:row r="24">
      <x:c r="A24" s="2"/>
      <x:c r="B24" s="2"/>
      <x:c r="C24" s="2"/>
      <x:c r="D24" s="2"/>
    </x:row>
    <x:row r="25">
      <x:c r="A25" s="2"/>
      <x:c r="B25" s="2"/>
      <x:c r="C25" s="2"/>
      <x:c r="D25" s="2"/>
    </x:row>
    <x:row r="26">
      <x:c r="A26" s="2"/>
      <x:c r="B26" s="2"/>
      <x:c r="C26" s="2"/>
      <x:c r="D26" s="2"/>
    </x:row>
    <x:row r="27">
      <x:c r="A27" s="2"/>
      <x:c r="B27" s="2"/>
      <x:c r="C27" s="2"/>
      <x:c r="D27" s="2"/>
    </x:row>
    <x:row r="28">
      <x:c r="A28" s="2"/>
      <x:c r="B28" s="2"/>
      <x:c r="C28" s="2"/>
      <x:c r="D28" s="2"/>
    </x:row>
  </x:sheetData>
  <x:mergeCells>
    <x:mergeCell ref="A1:D2"/>
    <x:mergeCell ref="A4:D4"/>
    <x:mergeCell ref="A11:D11"/>
    <x:mergeCell ref="A21:D21"/>
  </x:mergeCells>
  <x:pageMargins left="0.7" right="0.7" top="0.75" bottom="0.75" header="0.3" footer="0.3"/>
  <x:tableParts count="2">
    <x:tablePart xmlns:r="http://schemas.openxmlformats.org/officeDocument/2006/relationships" r:id="Rab7926a6044241d0"/>
    <x:tablePart xmlns:r="http://schemas.openxmlformats.org/officeDocument/2006/relationships" r:id="R71830bdf7ce94b6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52" hidden="0" customWidth="1"/>
    <x:col min="2" max="2" width="18" hidden="0" customWidth="1"/>
    <x:col min="3" max="3" width="38" hidden="0" customWidth="1"/>
  </x:cols>
  <x:sheetData>
    <x:row r="1" ht="34" customHeight="1">
      <x:c r="A1" s="6" t="str">
        <x:v>Anhang Formblatt Unterschriften</x:v>
      </x:c>
      <x:c r="B1" s="6" t="str">
        <x:v>Anhang Formblatt Unterschriften</x:v>
      </x:c>
      <x:c r="C1" s="6" t="str">
        <x:v>Anhang Formblatt Unterschriften</x:v>
      </x:c>
    </x:row>
    <x:row r="2" ht="34" customHeight="1">
      <x:c r="A2" s="6" t="str">
        <x:v>Anhang Formblatt Unterschriften</x:v>
      </x:c>
      <x:c r="B2" s="6" t="str">
        <x:v>Anhang Formblatt Unterschriften</x:v>
      </x:c>
      <x:c r="C2" s="6" t="str">
        <x:v>Anhang Formblatt Unterschriften</x:v>
      </x:c>
    </x:row>
    <x:row r="3">
      <x:c r="A3" s="2"/>
      <x:c r="B3" s="2"/>
      <x:c r="C3" s="2"/>
    </x:row>
    <x:row r="4">
      <x:c r="A4" s="40" t="str">
        <x:v>Name, Vorname, Abteilung, Funktion</x:v>
      </x:c>
      <x:c r="B4" s="40" t="str">
        <x:v>Datum</x:v>
      </x:c>
      <x:c r="C4" s="40" t="str">
        <x:v>Unterschrift / Bestätigung</x:v>
      </x:c>
    </x:row>
    <x:row r="5" ht="48" customHeight="1">
      <x:c r="A5" s="19" t="str"/>
      <x:c r="B5" s="20" t="str"/>
      <x:c r="C5" s="19" t="str"/>
    </x:row>
    <x:row r="6" ht="48" customHeight="1">
      <x:c r="A6" s="19" t="str"/>
      <x:c r="B6" s="20" t="str"/>
      <x:c r="C6" s="19" t="str"/>
    </x:row>
    <x:row r="7" ht="48" customHeight="1">
      <x:c r="A7" s="19" t="str"/>
      <x:c r="B7" s="20" t="str"/>
      <x:c r="C7" s="19" t="str"/>
    </x:row>
    <x:row r="8" ht="48" customHeight="1">
      <x:c r="A8" s="19" t="str"/>
      <x:c r="B8" s="20" t="str"/>
      <x:c r="C8" s="19" t="str"/>
    </x:row>
    <x:row r="9" ht="48" customHeight="1">
      <x:c r="A9" s="19" t="str"/>
      <x:c r="B9" s="20" t="str"/>
      <x:c r="C9" s="19" t="str"/>
    </x:row>
    <x:row r="10" ht="48" customHeight="1">
      <x:c r="A10" s="19" t="str"/>
      <x:c r="B10" s="20" t="str"/>
      <x:c r="C10" s="19" t="str"/>
    </x:row>
    <x:row r="11" ht="48" customHeight="1">
      <x:c r="A11" s="19" t="str"/>
      <x:c r="B11" s="20" t="str"/>
      <x:c r="C11" s="19" t="str"/>
    </x:row>
    <x:row r="12">
      <x:c r="A12" s="2"/>
      <x:c r="B12" s="2"/>
      <x:c r="C12" s="2"/>
    </x:row>
    <x:row r="13">
      <x:c r="A13" s="2"/>
      <x:c r="B13" s="2"/>
      <x:c r="C13" s="2"/>
    </x:row>
    <x:row r="14">
      <x:c r="A14" s="2"/>
      <x:c r="B14" s="2"/>
      <x:c r="C14" s="2"/>
    </x:row>
    <x:row r="15">
      <x:c r="A15" s="2"/>
      <x:c r="B15" s="2"/>
      <x:c r="C15" s="2"/>
    </x:row>
    <x:row r="16">
      <x:c r="A16" s="2"/>
      <x:c r="B16" s="2"/>
      <x:c r="C16" s="2"/>
    </x:row>
  </x:sheetData>
  <x:mergeCells>
    <x:mergeCell ref="A1:C2"/>
  </x:mergeCells>
  <x:pageMargins left="0.7" right="0.7" top="0.75" bottom="0.75" header="0.3" footer="0.3"/>
  <x:tableParts count="1">
    <x:tablePart xmlns:r="http://schemas.openxmlformats.org/officeDocument/2006/relationships" r:id="R4b8503ae5682423c"/>
  </x:tableParts>
</x:worksheet>
</file>