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df87a655abb4ad4" /></Relationships>
</file>

<file path=xl/workbook.xml><?xml version="1.0" encoding="utf-8"?>
<x:workbook xmlns:x="http://schemas.openxmlformats.org/spreadsheetml/2006/main">
  <x:sheets>
    <x:sheet xmlns:r="http://schemas.openxmlformats.org/officeDocument/2006/relationships" name="Übersicht" sheetId="1" r:id="R7f31ef9b9992453c"/>
    <x:sheet xmlns:r="http://schemas.openxmlformats.org/officeDocument/2006/relationships" name="Review 7.5" sheetId="2" r:id="R4c147630543440db"/>
    <x:sheet xmlns:r="http://schemas.openxmlformats.org/officeDocument/2006/relationships" name="Eingabe- &amp; Ausgabe" sheetId="3" r:id="R9de99c6fe90c4968"/>
    <x:sheet xmlns:r="http://schemas.openxmlformats.org/officeDocument/2006/relationships" name="Maßnahmen" sheetId="4" r:id="Rdb5797dbd00f4170"/>
    <x:sheet xmlns:r="http://schemas.openxmlformats.org/officeDocument/2006/relationships" name="Legende &amp; Hinweise" sheetId="5" r:id="Rccf497a800984024"/>
    <x:sheet xmlns:r="http://schemas.openxmlformats.org/officeDocument/2006/relationships" name="Unterschriften" sheetId="6" r:id="R7b2e4a4bfcc44a7b"/>
    <x:sheet xmlns:r="http://schemas.openxmlformats.org/officeDocument/2006/relationships" name="Referenzen Teil 7" sheetId="7" r:id="Ra6377d175810449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b/>
      <x:sz val="18"/>
      <x:color rgb="FFFFFFFF"/>
      <x:name val="Carlito"/>
    </x:font>
    <x:font>
      <x:i/>
      <x:sz val="11"/>
      <x:color rgb="FF17365D"/>
      <x:name val="Carlito"/>
    </x:font>
    <x:font>
      <x:b/>
      <x:sz val="11"/>
      <x:color rgb="FFFFFFFF"/>
      <x:name val="Carlito"/>
    </x:font>
    <x:font>
      <x:sz val="11"/>
      <x:color rgb="FF222222"/>
      <x:name val="Carlito"/>
    </x:font>
    <x:font>
      <x:b/>
      <x:sz val="11"/>
      <x:color rgb="FF17365D"/>
      <x:name val="Carlito"/>
    </x:font>
    <x:font>
      <x:sz val="11"/>
      <x:color rgb="FF17365D"/>
      <x:name val="Carlito"/>
    </x:font>
  </x:fonts>
  <x:fills count="11">
    <x:fill>
      <x:patternFill patternType="none"/>
    </x:fill>
    <x:fill>
      <x:patternFill patternType="gray125"/>
    </x:fill>
    <x:fill>
      <x:patternFill patternType="solid">
        <x:fgColor rgb="FF1D4168"/>
      </x:patternFill>
    </x:fill>
    <x:fill>
      <x:patternFill patternType="solid">
        <x:fgColor rgb="FFE7F1F8"/>
      </x:patternFill>
    </x:fill>
    <x:fill>
      <x:patternFill patternType="solid">
        <x:fgColor rgb="FF275D8C"/>
      </x:patternFill>
    </x:fill>
    <x:fill>
      <x:patternFill patternType="solid">
        <x:fgColor rgb="FFFFFFFF"/>
      </x:patternFill>
    </x:fill>
    <x:fill>
      <x:patternFill patternType="solid">
        <x:fgColor rgb="FFFFF2CC"/>
      </x:patternFill>
    </x:fill>
    <x:fill>
      <x:patternFill patternType="solid">
        <x:fgColor rgb="FF5B9BD5"/>
      </x:patternFill>
    </x:fill>
    <x:fill>
      <x:patternFill patternType="solid">
        <x:fgColor rgb="FF0D6A7D"/>
      </x:patternFill>
    </x:fill>
    <x:fill>
      <x:patternFill patternType="solid">
        <x:fgColor rgb="FFE7E6E6"/>
      </x:patternFill>
    </x:fill>
    <x:fill>
      <x:patternFill patternType="solid">
        <x:fgColor rgb="FFF2F2F2"/>
      </x:patternFill>
    </x:fill>
  </x:fills>
  <x:borders count="3">
    <x:border/>
    <x:border>
      <x:left style="thin">
        <x:color rgb="FFB4C7DC"/>
      </x:left>
      <x:right style="thin">
        <x:color rgb="FFB4C7DC"/>
      </x:right>
      <x:top style="thin">
        <x:color rgb="FFB4C7DC"/>
      </x:top>
      <x:bottom style="thin">
        <x:color rgb="FFB4C7DC"/>
      </x:bottom>
    </x:border>
    <x:border>
      <x:left style="thin">
        <x:color rgb="FFFFFFFF"/>
      </x:left>
      <x:right style="thin">
        <x:color rgb="FFFFFFFF"/>
      </x:right>
      <x:top style="thin">
        <x:color rgb="FFFFFFFF"/>
      </x:top>
      <x:bottom style="thin">
        <x:color rgb="FFFFFFFF"/>
      </x:bottom>
    </x:border>
  </x:borders>
  <x:cellStyleXfs count="1">
    <x:xf numFmtId="0" fontId="0" fillId="0" borderId="0"/>
  </x:cellStyleXfs>
  <x:cellXfs count="5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vertical="top" wrapText="1"/>
    </x:xf>
    <x:xf numFmtId="0" fontId="4" fillId="3" borderId="1" xfId="0" applyNumberFormat="1" applyFont="1" applyFill="1" applyBorder="1" applyAlignment="1">
      <x:alignment vertical="top" wrapText="1"/>
    </x:xf>
    <x:xf numFmtId="0" fontId="5" fillId="3" borderId="1" xfId="0" applyNumberFormat="1" applyFont="1" applyFill="1" applyBorder="1" applyAlignment="1">
      <x:alignment vertical="top" wrapText="1"/>
    </x:xf>
    <x:xf numFmtId="0" fontId="4" fillId="6" borderId="1" xfId="0" applyNumberFormat="1" applyFont="1" applyFill="1" applyBorder="1" applyAlignment="1">
      <x:alignment vertical="top" wrapText="1"/>
    </x:xf>
    <x:xf numFmtId="0" fontId="6" fillId="3" borderId="0" xfId="0" applyNumberFormat="1" applyFont="1" applyFill="1" applyBorder="1"/>
    <x:xf numFmtId="0" fontId="6" fillId="3" borderId="1" xfId="0" applyNumberFormat="1" applyFont="1" applyFill="1" applyBorder="1"/>
    <x:xf numFmtId="0" fontId="6" fillId="6" borderId="1" xfId="0" applyNumberFormat="1" applyFont="1" applyFill="1" applyBorder="1"/>
    <x:xf numFmtId="0" fontId="6" fillId="5" borderId="0" xfId="0" applyNumberFormat="1" applyFont="1" applyFill="1" applyBorder="1"/>
    <x:xf numFmtId="0" fontId="6" fillId="5" borderId="1" xfId="0" applyNumberFormat="1" applyFont="1" applyFill="1" applyBorder="1"/>
    <x:xf numFmtId="0" fontId="0" fillId="7" borderId="0" xfId="0" applyNumberFormat="1" applyFont="1" applyFill="1" applyBorder="1"/>
    <x:xf numFmtId="0" fontId="3" fillId="7" borderId="0" xfId="0" applyNumberFormat="1" applyFont="1" applyFill="1" applyBorder="1"/>
    <x:xf numFmtId="0" fontId="3" fillId="7" borderId="2" xfId="0" applyNumberFormat="1" applyFont="1" applyFill="1" applyBorder="1"/>
    <x:xf numFmtId="0" fontId="3" fillId="7" borderId="2" xfId="0" applyNumberFormat="1" applyFont="1" applyFill="1" applyBorder="1" applyAlignment="1">
      <x:alignment horizontal="center"/>
    </x:xf>
    <x:xf numFmtId="0" fontId="5" fillId="3" borderId="0" xfId="0" applyNumberFormat="1" applyFont="1" applyFill="1" applyBorder="1"/>
    <x:xf numFmtId="0" fontId="5" fillId="3" borderId="1" xfId="0" applyNumberFormat="1" applyFont="1" applyFill="1" applyBorder="1"/>
    <x:xf numFmtId="0" fontId="5" fillId="3" borderId="1" xfId="0" applyNumberFormat="1" applyFont="1" applyFill="1" applyBorder="1" applyAlignment="1">
      <x:alignment horizontal="center"/>
    </x:xf>
    <x:xf numFmtId="200" fontId="5" fillId="3" borderId="1" xfId="0" applyNumberFormat="1" applyFont="1" applyFill="1" applyBorder="1" applyAlignment="1">
      <x:alignment horizontal="center"/>
    </x:xf>
    <x:xf numFmtId="0" fontId="0" fillId="6" borderId="0" xfId="0" applyNumberFormat="1" applyFont="1" applyFill="1" applyBorder="1"/>
    <x:xf numFmtId="0" fontId="0" fillId="6" borderId="1"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vertical="top" wrapText="1"/>
    </x:xf>
    <x:xf numFmtId="0" fontId="0" fillId="6" borderId="1" xfId="0" applyNumberFormat="1" applyFont="1" applyFill="1" applyBorder="1" applyAlignment="1">
      <x:alignment wrapText="1"/>
    </x:xf>
    <x:xf numFmtId="0" fontId="0" fillId="6" borderId="1" xfId="0" applyNumberFormat="1" applyFont="1" applyFill="1" applyBorder="1" applyAlignment="1">
      <x:alignment vertical="top" wrapText="1"/>
    </x:xf>
    <x:xf numFmtId="0" fontId="3" fillId="2" borderId="0" xfId="0" applyNumberFormat="1" applyFont="1" applyFill="1" applyBorder="1"/>
    <x:xf numFmtId="0" fontId="3" fillId="2" borderId="2" xfId="0" applyNumberFormat="1" applyFont="1" applyFill="1" applyBorder="1"/>
    <x:xf numFmtId="0" fontId="3" fillId="2" borderId="2" xfId="0" applyNumberFormat="1" applyFont="1" applyFill="1" applyBorder="1" applyAlignment="1">
      <x:alignment wrapText="1"/>
    </x:xf>
    <x:xf numFmtId="0" fontId="0" fillId="8" borderId="0" xfId="0" applyNumberFormat="1" applyFont="1" applyFill="1" applyBorder="1"/>
    <x:xf numFmtId="0" fontId="3" fillId="8" borderId="0" xfId="0" applyNumberFormat="1" applyFont="1" applyFill="1" applyBorder="1"/>
    <x:xf numFmtId="0" fontId="3" fillId="8" borderId="1" xfId="0" applyNumberFormat="1" applyFont="1" applyFill="1" applyBorder="1"/>
    <x:xf numFmtId="0" fontId="3" fillId="8" borderId="1" xfId="0" applyNumberFormat="1" applyFont="1" applyFill="1" applyBorder="1" applyAlignment="1">
      <x:alignment wrapText="1"/>
    </x:xf>
    <x:xf numFmtId="0" fontId="3" fillId="8" borderId="1" xfId="0" applyNumberFormat="1" applyFont="1" applyFill="1" applyBorder="1" applyAlignment="1">
      <x:alignment vertical="center" wrapText="1"/>
    </x:xf>
    <x:xf numFmtId="0" fontId="4" fillId="9" borderId="1" xfId="0" applyNumberFormat="1" applyFont="1" applyFill="1" applyBorder="1" applyAlignment="1">
      <x:alignment vertical="top" wrapText="1"/>
    </x:xf>
    <x:xf numFmtId="0" fontId="3" fillId="4" borderId="2" xfId="0" applyNumberFormat="1" applyFont="1" applyFill="1" applyBorder="1"/>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4" fillId="6" borderId="0" xfId="0" applyNumberFormat="1" applyFont="1" applyFill="1" applyBorder="1"/>
    <x:xf numFmtId="0" fontId="4" fillId="6" borderId="1" xfId="0" applyNumberFormat="1" applyFont="1" applyFill="1" applyBorder="1"/>
    <x:xf numFmtId="0" fontId="4" fillId="6" borderId="1" xfId="0" applyNumberFormat="1" applyFont="1" applyFill="1" applyBorder="1" applyAlignment="1">
      <x:alignment wrapText="1"/>
    </x:xf>
    <x:xf numFmtId="0" fontId="2" fillId="1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384b6933f764e7a" /><Relationship Type="http://schemas.openxmlformats.org/officeDocument/2006/relationships/theme" Target="/xl/theme/theme1.xml" Id="R7ec21e3005a14cfd" /><Relationship Type="http://schemas.openxmlformats.org/officeDocument/2006/relationships/sharedStrings" Target="/xl/sharedStrings.xml" Id="R402a7b486e6f452b" /><Relationship Type="http://schemas.openxmlformats.org/officeDocument/2006/relationships/worksheet" Target="/xl/worksheets/sheet1.xml" Id="R7f31ef9b9992453c" /><Relationship Type="http://schemas.openxmlformats.org/officeDocument/2006/relationships/worksheet" Target="/xl/worksheets/sheet2.xml" Id="R4c147630543440db" /><Relationship Type="http://schemas.openxmlformats.org/officeDocument/2006/relationships/worksheet" Target="/xl/worksheets/sheet3.xml" Id="R9de99c6fe90c4968" /><Relationship Type="http://schemas.openxmlformats.org/officeDocument/2006/relationships/worksheet" Target="/xl/worksheets/sheet4.xml" Id="Rdb5797dbd00f4170" /><Relationship Type="http://schemas.openxmlformats.org/officeDocument/2006/relationships/worksheet" Target="/xl/worksheets/sheet5.xml" Id="Rccf497a800984024" /><Relationship Type="http://schemas.openxmlformats.org/officeDocument/2006/relationships/worksheet" Target="/xl/worksheets/sheet6.xml" Id="R7b2e4a4bfcc44a7b" /><Relationship Type="http://schemas.openxmlformats.org/officeDocument/2006/relationships/worksheet" Target="/xl/worksheets/sheet7.xml" Id="Ra6377d175810449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3" max="3" width="14" hidden="0" customWidth="1"/>
    <x:col min="4" max="4" width="14" hidden="0" customWidth="1"/>
    <x:col min="5" max="5" width="23" hidden="0" customWidth="1"/>
    <x:col min="6" max="6" width="23" hidden="0" customWidth="1"/>
    <x:col min="7" max="7" width="22" hidden="0" customWidth="1"/>
    <x:col min="8" max="8" width="22" hidden="0" customWidth="1"/>
  </x:cols>
  <x:sheetData>
    <x:row r="1" ht="28" customHeight="1">
      <x:c r="A1" s="4" t="str">
        <x:v>Reviewprotokoll IEC 61508-2 – Kapitel 7.5
Integration des E/E/PE-Systems</x:v>
      </x:c>
      <x:c r="B1" s="4"/>
      <x:c r="C1" s="4"/>
      <x:c r="D1" s="4"/>
      <x:c r="E1" s="4"/>
      <x:c r="F1" s="4"/>
      <x:c r="G1" s="4"/>
      <x:c r="H1" s="4"/>
    </x:row>
    <x:row r="2" ht="28" customHeight="1">
      <x:c r="A2" s="4"/>
      <x:c r="B2" s="4"/>
      <x:c r="C2" s="4"/>
      <x:c r="D2" s="4"/>
      <x:c r="E2" s="4"/>
      <x:c r="F2" s="4"/>
      <x:c r="G2" s="4"/>
      <x:c r="H2" s="4"/>
    </x:row>
    <x:row r="3" ht="24" customHeight="1">
      <x:c r="A3" s="8" t="str">
        <x:v>Strukturierte Arbeitsmappe für SIL 1 bis SIL 3 · Eingabefelder sind gelb markiert</x:v>
      </x:c>
      <x:c r="B3" s="8"/>
      <x:c r="C3" s="8"/>
      <x:c r="D3" s="8"/>
      <x:c r="E3" s="8"/>
      <x:c r="F3" s="8"/>
      <x:c r="G3" s="8"/>
      <x:c r="H3" s="8"/>
    </x:row>
    <x:row r="5">
      <x:c r="A5" s="12" t="str">
        <x:v>Reviewdaten</x:v>
      </x:c>
      <x:c r="B5" s="12"/>
      <x:c r="C5" s="12"/>
      <x:c r="D5" s="12"/>
      <x:c r="E5" s="12"/>
      <x:c r="F5" s="12"/>
      <x:c r="G5" s="12"/>
      <x:c r="H5" s="12"/>
    </x:row>
    <x:row r="6">
      <x:c r="A6" s="19" t="str">
        <x:v>Projekt / Teilprojekt</x:v>
      </x:c>
      <x:c r="B6" s="20" t="str"/>
      <x:c r="C6" s="20" t="str"/>
      <x:c r="D6" s="20" t="str"/>
      <x:c r="E6" s="19" t="str">
        <x:v>Review-Gegenstand</x:v>
      </x:c>
      <x:c r="F6" s="20" t="str"/>
      <x:c r="G6" s="20" t="str"/>
      <x:c r="H6" s="20" t="str"/>
    </x:row>
    <x:row r="7">
      <x:c r="A7" s="19" t="str">
        <x:v>Dokument / Referenz</x:v>
      </x:c>
      <x:c r="B7" s="20" t="str"/>
      <x:c r="C7" s="20" t="str"/>
      <x:c r="D7" s="20" t="str"/>
      <x:c r="E7" s="19" t="str">
        <x:v>Index</x:v>
      </x:c>
      <x:c r="F7" s="20" t="str"/>
      <x:c r="G7" s="20" t="str"/>
      <x:c r="H7" s="20" t="str"/>
    </x:row>
    <x:row r="8">
      <x:c r="A8" s="19" t="str">
        <x:v>SIL</x:v>
      </x:c>
      <x:c r="B8" s="20" t="str"/>
      <x:c r="C8" s="20" t="str"/>
      <x:c r="D8" s="20" t="str"/>
      <x:c r="E8" s="19" t="str">
        <x:v>Checkliste</x:v>
      </x:c>
      <x:c r="F8" s="20" t="str">
        <x:v>IEC 61508-2: Kapitel 7.5 Integration des E/E/PE-Systems</x:v>
      </x:c>
      <x:c r="G8" s="20" t="str"/>
      <x:c r="H8" s="20" t="str"/>
    </x:row>
    <x:row r="9">
      <x:c r="A9" s="19" t="str">
        <x:v>Ort</x:v>
      </x:c>
      <x:c r="B9" s="20" t="str"/>
      <x:c r="C9" s="20" t="str"/>
      <x:c r="D9" s="20" t="str"/>
      <x:c r="E9" s="19" t="str">
        <x:v>Datum / Zeitraum</x:v>
      </x:c>
      <x:c r="F9" s="20" t="str"/>
      <x:c r="G9" s="20" t="str"/>
      <x:c r="H9" s="20" t="str"/>
    </x:row>
    <x:row r="10">
      <x:c r="A10" s="19" t="str">
        <x:v>Reviewleitung</x:v>
      </x:c>
      <x:c r="B10" s="20" t="str"/>
      <x:c r="C10" s="20" t="str"/>
      <x:c r="D10" s="20" t="str"/>
      <x:c r="E10" s="19" t="str">
        <x:v>Protokollführung</x:v>
      </x:c>
      <x:c r="F10" s="20" t="str"/>
      <x:c r="G10" s="20" t="str"/>
      <x:c r="H10" s="20" t="str"/>
    </x:row>
    <x:row r="12">
      <x:c r="A12" s="12" t="str">
        <x:v>Teilnehmer</x:v>
      </x:c>
      <x:c r="B12" s="12"/>
      <x:c r="C12" s="12"/>
      <x:c r="D12" s="12"/>
      <x:c r="E12" s="12"/>
      <x:c r="F12" s="12"/>
      <x:c r="G12" s="12"/>
      <x:c r="H12" s="12"/>
    </x:row>
    <x:row r="13">
      <x:c r="A13" s="22" t="str">
        <x:v>Teilnehmer 1</x:v>
      </x:c>
      <x:c r="B13" s="23"/>
      <x:c r="C13" s="23"/>
      <x:c r="D13" s="23"/>
      <x:c r="E13" s="23"/>
      <x:c r="F13" s="23"/>
      <x:c r="G13" s="23"/>
      <x:c r="H13" s="23"/>
    </x:row>
    <x:row r="14">
      <x:c r="A14" s="25" t="str">
        <x:v>Teilnehmer 2</x:v>
      </x:c>
      <x:c r="B14" s="23"/>
      <x:c r="C14" s="23"/>
      <x:c r="D14" s="23"/>
      <x:c r="E14" s="23"/>
      <x:c r="F14" s="23"/>
      <x:c r="G14" s="23"/>
      <x:c r="H14" s="23"/>
    </x:row>
    <x:row r="15">
      <x:c r="A15" s="22" t="str">
        <x:v>Teilnehmer 3</x:v>
      </x:c>
      <x:c r="B15" s="23"/>
      <x:c r="C15" s="23"/>
      <x:c r="D15" s="23"/>
      <x:c r="E15" s="23"/>
      <x:c r="F15" s="23"/>
      <x:c r="G15" s="23"/>
      <x:c r="H15" s="23"/>
    </x:row>
    <x:row r="16">
      <x:c r="A16" s="25" t="str">
        <x:v>Teilnehmer 4</x:v>
      </x:c>
      <x:c r="B16" s="23"/>
      <x:c r="C16" s="23"/>
      <x:c r="D16" s="23"/>
      <x:c r="E16" s="23"/>
      <x:c r="F16" s="23"/>
      <x:c r="G16" s="23"/>
      <x:c r="H16" s="23"/>
    </x:row>
    <x:row r="18">
      <x:c r="A18" s="12" t="str">
        <x:v>Fortschritt und Review-Ergebnis</x:v>
      </x:c>
      <x:c r="B18" s="12"/>
      <x:c r="C18" s="12"/>
      <x:c r="D18" s="12"/>
      <x:c r="E18" s="12"/>
      <x:c r="F18" s="12"/>
      <x:c r="G18" s="12"/>
      <x:c r="H18" s="12"/>
    </x:row>
    <x:row r="19">
      <x:c r="A19" s="29" t="str">
        <x:v>Prüfpunkte</x:v>
      </x:c>
      <x:c r="B19" s="29" t="str"/>
      <x:c r="C19" s="29" t="str">
        <x:v>OK</x:v>
      </x:c>
      <x:c r="D19" s="29" t="str"/>
      <x:c r="E19" s="29" t="str">
        <x:v>Nicht OK</x:v>
      </x:c>
      <x:c r="F19" s="29" t="str"/>
      <x:c r="G19" s="29" t="str">
        <x:v>Nicht geprüft</x:v>
      </x:c>
      <x:c r="H19" s="29" t="str">
        <x:v>Abschluss</x:v>
      </x:c>
    </x:row>
    <x:row r="20">
      <x:c r="A20" s="32" t="n">
        <x:f>COUNTA('Review 7.5'!A8:A15)</x:f>
        <x:v>8</x:v>
      </x:c>
      <x:c r="B20" s="32"/>
      <x:c r="C20" s="32" t="n">
        <x:f>COUNTIF('Review 7.5'!G8:G15,"OK")</x:f>
        <x:v>0</x:v>
      </x:c>
      <x:c r="D20" s="32"/>
      <x:c r="E20" s="32" t="n">
        <x:f>COUNTIF('Review 7.5'!G8:G15,"Nicht OK")</x:f>
        <x:v>0</x:v>
      </x:c>
      <x:c r="F20" s="32"/>
      <x:c r="G20" s="32" t="n">
        <x:f>COUNTIF('Review 7.5'!G8:G15,"Nicht geprüft")</x:f>
        <x:v>8</x:v>
      </x:c>
      <x:c r="H20" s="33" t="n">
        <x:f>IF(A20=0,0,(C20+E20)/A20)</x:f>
        <x:v>0</x:v>
      </x:c>
    </x:row>
    <x:row r="22">
      <x:c r="A22" s="30" t="str">
        <x:v>Gesamtergebnis</x:v>
      </x:c>
      <x:c r="B22" s="35"/>
      <x:c r="C22" s="35"/>
      <x:c r="D22" s="35"/>
      <x:c r="E22" s="35"/>
      <x:c r="F22" s="35"/>
      <x:c r="G22" s="35"/>
      <x:c r="H22" s="35"/>
    </x:row>
    <x:row r="23">
      <x:c r="A23" s="37" t="str">
        <x:v>Ergebnis / Begründung</x:v>
      </x:c>
      <x:c r="B23" s="39"/>
      <x:c r="C23" s="39"/>
      <x:c r="D23" s="39"/>
      <x:c r="E23" s="39"/>
      <x:c r="F23" s="39"/>
      <x:c r="G23" s="39"/>
      <x:c r="H23" s="39"/>
    </x:row>
    <x:row r="24">
      <x:c r="A24" s="37"/>
      <x:c r="B24" s="39"/>
      <x:c r="C24" s="39"/>
      <x:c r="D24" s="39"/>
      <x:c r="E24" s="39"/>
      <x:c r="F24" s="39"/>
      <x:c r="G24" s="39"/>
      <x:c r="H24" s="39"/>
    </x:row>
    <x:row r="25">
      <x:c r="A25" s="37"/>
      <x:c r="B25" s="39"/>
      <x:c r="C25" s="39"/>
      <x:c r="D25" s="39"/>
      <x:c r="E25" s="39"/>
      <x:c r="F25" s="39"/>
      <x:c r="G25" s="39"/>
      <x:c r="H25" s="39"/>
    </x:row>
    <x:row r="27">
      <x:c r="A27" s="37" t="str">
        <x:v>Zusammenfassung</x:v>
      </x:c>
      <x:c r="B27" s="39" t="str">
        <x:v>Das Dokument wird auf vollständige, nachvollziehbare und technisch belastbare Umsetzung von IEC 61508-2, Kapitel 7.5, geprüft. Normative Anforderungen und informative Verfahren aus IEC 61508-7 werden getrennt bewertet.</x:v>
      </x:c>
      <x:c r="C27" s="39"/>
      <x:c r="D27" s="39"/>
      <x:c r="E27" s="39"/>
      <x:c r="F27" s="39"/>
      <x:c r="G27" s="39"/>
      <x:c r="H27" s="39"/>
    </x:row>
    <x:row r="28">
      <x:c r="A28" s="37"/>
      <x:c r="B28" s="39"/>
      <x:c r="C28" s="39"/>
      <x:c r="D28" s="39"/>
      <x:c r="E28" s="39"/>
      <x:c r="F28" s="39"/>
      <x:c r="G28" s="39"/>
      <x:c r="H28" s="39"/>
    </x:row>
    <x:row r="29">
      <x:c r="A29" s="37"/>
      <x:c r="B29" s="39"/>
      <x:c r="C29" s="39"/>
      <x:c r="D29" s="39"/>
      <x:c r="E29" s="39"/>
      <x:c r="F29" s="39"/>
      <x:c r="G29" s="39"/>
      <x:c r="H29" s="39"/>
    </x:row>
    <x:row r="30">
      <x:c r="A30" s="37"/>
      <x:c r="B30" s="39"/>
      <x:c r="C30" s="39"/>
      <x:c r="D30" s="39"/>
      <x:c r="E30" s="39"/>
      <x:c r="F30" s="39"/>
      <x:c r="G30" s="39"/>
      <x:c r="H30" s="39"/>
    </x:row>
  </x:sheetData>
  <x:mergeCells>
    <x:mergeCell ref="A1:H2"/>
    <x:mergeCell ref="A3:H3"/>
    <x:mergeCell ref="A5:H5"/>
    <x:mergeCell ref="A12:H12"/>
    <x:mergeCell ref="A18:H18"/>
    <x:mergeCell ref="B22:H22"/>
    <x:mergeCell ref="A23:A25"/>
    <x:mergeCell ref="B23:H25"/>
    <x:mergeCell ref="A27:A30"/>
    <x:mergeCell ref="B27:H30"/>
  </x:mergeCells>
  <x:dataValidations count="2">
    <x:dataValidation type="list" sqref="B8:D8">
      <x:formula1>"SIL 1,SIL 2,SIL 3"</x:formula1>
    </x:dataValidation>
    <x:dataValidation type="list" sqref="B22">
      <x:formula1>"Freigegeben,Freigegeben mit Auflagen,Nicht freigegeben"</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16" hidden="0" customWidth="1"/>
    <x:col min="3" max="3" width="66" hidden="0" customWidth="1"/>
    <x:col min="4" max="4" width="30" hidden="0" customWidth="1"/>
    <x:col min="5" max="5" width="34" hidden="0" customWidth="1"/>
    <x:col min="6" max="6" width="22" hidden="0" customWidth="1"/>
    <x:col min="7" max="7" width="17" hidden="0" customWidth="1"/>
  </x:cols>
  <x:sheetData>
    <x:row r="1" ht="28" customHeight="1">
      <x:c r="A1" s="4" t="str">
        <x:v>Checkliste – IEC 61508-2, Kapitel 7.5</x:v>
      </x:c>
      <x:c r="B1" s="4"/>
      <x:c r="C1" s="4"/>
      <x:c r="D1" s="4"/>
      <x:c r="E1" s="4"/>
      <x:c r="F1" s="4"/>
      <x:c r="G1" s="4"/>
    </x:row>
    <x:row r="2" ht="28" customHeight="1">
      <x:c r="A2" s="4"/>
      <x:c r="B2" s="4"/>
      <x:c r="C2" s="4"/>
      <x:c r="D2" s="4"/>
      <x:c r="E2" s="4"/>
      <x:c r="F2" s="4"/>
      <x:c r="G2" s="4"/>
    </x:row>
    <x:row r="3" ht="24" customHeight="1">
      <x:c r="A3" s="8" t="str">
        <x:v>Prüfergebnis: konkrete technische Bewertung. Kommentar / Nachweis: Begründung, Fundstelle, Mess- oder Prüfnachweis beziehungsweise offener Punkt.</x:v>
      </x:c>
      <x:c r="B3" s="8"/>
      <x:c r="C3" s="8"/>
      <x:c r="D3" s="8"/>
      <x:c r="E3" s="8"/>
      <x:c r="F3" s="8"/>
      <x:c r="G3" s="8"/>
    </x:row>
    <x:row r="5">
      <x:c r="A5" s="42" t="str">
        <x:v>Kapitel 7.5</x:v>
      </x:c>
      <x:c r="B5" s="42" t="str">
        <x:v>Integration des E/E/PE-Systems</x:v>
      </x:c>
      <x:c r="C5" s="42" t="str">
        <x:v>8 Prüfpunkte</x:v>
      </x:c>
      <x:c r="D5" s="42"/>
      <x:c r="E5" s="42"/>
      <x:c r="F5" s="42" t="str">
        <x:v>Dokumentenbezug</x:v>
      </x:c>
      <x:c r="G5" s="42" t="str">
        <x:v>Status / OK</x:v>
      </x:c>
    </x:row>
    <x:row r="7" ht="32" customHeight="1">
      <x:c r="A7" s="47" t="str">
        <x:v>Nr.</x:v>
      </x:c>
      <x:c r="B7" s="47" t="str">
        <x:v>Normkapitel</x:v>
      </x:c>
      <x:c r="C7" s="47" t="str">
        <x:v>Prüffrage / Prüfkriterium</x:v>
      </x:c>
      <x:c r="D7" s="47" t="str">
        <x:v>Prüfergebnis</x:v>
      </x:c>
      <x:c r="E7" s="47" t="str">
        <x:v>Kommentar / Nachweis</x:v>
      </x:c>
      <x:c r="F7" s="47" t="str">
        <x:v>E/A-Dokumente (IDs)</x:v>
      </x:c>
      <x:c r="G7" s="47" t="str">
        <x:v>Status / OK</x:v>
      </x:c>
    </x:row>
    <x:row r="8" ht="88" customHeight="1">
      <x:c r="A8" s="17" t="str">
        <x:v>Z1</x:v>
      </x:c>
      <x:c r="B8" s="17" t="str">
        <x:v>7.5.1</x:v>
      </x:c>
      <x:c r="C8" s="17" t="str">
        <x:v>Ist die Integration einschließlich des Tests des sicherheitsbezogenen E/E/PE-Systems als eigenständige Lebenszyklustätigkeit geplant und abgegrenzt?</x:v>
      </x:c>
      <x:c r="D8" s="20" t="str"/>
      <x:c r="E8" s="20" t="str"/>
      <x:c r="F8" s="18" t="str">
        <x:v>D01, D03</x:v>
      </x:c>
      <x:c r="G8" s="48" t="str">
        <x:v>Nicht geprüft</x:v>
      </x:c>
    </x:row>
    <x:row r="9" ht="88" customHeight="1">
      <x:c r="A9" s="17" t="str">
        <x:v>1</x:v>
      </x:c>
      <x:c r="B9" s="17" t="str">
        <x:v>7.5.2.1</x:v>
      </x:c>
      <x:c r="C9" s="17" t="str">
        <x:v>Wurde das System entsprechend dem festgelegten Entwurf integriert und nach den spezifizierten Integrationstests geprüft?</x:v>
      </x:c>
      <x:c r="D9" s="20" t="str"/>
      <x:c r="E9" s="20" t="str"/>
      <x:c r="F9" s="18" t="str">
        <x:v>D02, D05, D07</x:v>
      </x:c>
      <x:c r="G9" s="48" t="str">
        <x:v>Nicht geprüft</x:v>
      </x:c>
    </x:row>
    <x:row r="10" ht="88" customHeight="1">
      <x:c r="A10" s="17" t="str">
        <x:v>2</x:v>
      </x:c>
      <x:c r="B10" s="17" t="str">
        <x:v>7.5.2.2</x:v>
      </x:c>
      <x:c r="C10" s="17" t="str">
        <x:v>Zeigen die spezifizierten Tests, dass alle Module korrekt zusammenwirken, die beabsichtigten Funktionen ausführen und keine unbeabsichtigten Funktionen ausführen?</x:v>
      </x:c>
      <x:c r="D10" s="20" t="str"/>
      <x:c r="E10" s="20" t="str"/>
      <x:c r="F10" s="18" t="str">
        <x:v>D02, D05, D07</x:v>
      </x:c>
      <x:c r="G10" s="48" t="str">
        <x:v>Nicht geprüft</x:v>
      </x:c>
    </x:row>
    <x:row r="11" ht="88" customHeight="1">
      <x:c r="A11" s="17" t="str">
        <x:v>3</x:v>
      </x:c>
      <x:c r="B11" s="17" t="str">
        <x:v>7.5.2.3</x:v>
      </x:c>
      <x:c r="C11" s="17" t="str">
        <x:v>Erfolgt die Integration der sicherheitsbezogenen Software gemäß IEC 61508-3, 7.5?</x:v>
      </x:c>
      <x:c r="D11" s="20" t="str"/>
      <x:c r="E11" s="20" t="str"/>
      <x:c r="F11" s="18" t="str">
        <x:v>D02, D05</x:v>
      </x:c>
      <x:c r="G11" s="48" t="str">
        <x:v>Nicht geprüft</x:v>
      </x:c>
    </x:row>
    <x:row r="12" ht="88" customHeight="1">
      <x:c r="A12" s="17" t="str">
        <x:v>4</x:v>
      </x:c>
      <x:c r="B12" s="17" t="str">
        <x:v>7.5.2.4</x:v>
      </x:c>
      <x:c r="C12" s="17" t="str">
        <x:v>Dokumentiert der Integrationsnachweis Testergebnisse, Ziel- und Kriterienerfüllung sowie Ursachen und Korrekturen jedes Ausfalls?</x:v>
      </x:c>
      <x:c r="D12" s="20" t="str"/>
      <x:c r="E12" s="20" t="str"/>
      <x:c r="F12" s="18" t="str">
        <x:v>D07, D08</x:v>
      </x:c>
      <x:c r="G12" s="48" t="str">
        <x:v>Nicht geprüft</x:v>
      </x:c>
    </x:row>
    <x:row r="13" ht="88" customHeight="1">
      <x:c r="A13" s="17" t="str">
        <x:v>5</x:v>
      </x:c>
      <x:c r="B13" s="17" t="str">
        <x:v>7.5.2.5</x:v>
      </x:c>
      <x:c r="C13" s="17" t="str">
        <x:v>Wurde für jede Modifikation während Integration und Test eine Einflussanalyse durchgeführt, die betroffene Teilsysteme, Elemente und erforderliche Reverifikation bestimmt?</x:v>
      </x:c>
      <x:c r="D13" s="20" t="str"/>
      <x:c r="E13" s="20" t="str"/>
      <x:c r="F13" s="18" t="str">
        <x:v>D08, D10</x:v>
      </x:c>
      <x:c r="G13" s="48" t="str">
        <x:v>Nicht geprüft</x:v>
      </x:c>
    </x:row>
    <x:row r="14" ht="88" customHeight="1">
      <x:c r="A14" s="17" t="str">
        <x:v>6</x:v>
      </x:c>
      <x:c r="B14" s="17" t="str">
        <x:v>7.5.2.6</x:v>
      </x:c>
      <x:c r="C14" s="17" t="str">
        <x:v>Enthält die Integrationsdokumentation Testspezifikationsversion, Akzeptanzkriterien, Systemversion, Werkzeuge samt Kalibrierung, Einzelergebnisse, Abweichungen sowie Analyse und Fortsetzungsentscheidung?</x:v>
      </x:c>
      <x:c r="D14" s="20" t="str"/>
      <x:c r="E14" s="20" t="str"/>
      <x:c r="F14" s="18" t="str">
        <x:v>D05, D06, D07, D09</x:v>
      </x:c>
      <x:c r="G14" s="48" t="str">
        <x:v>Nicht geprüft</x:v>
      </x:c>
    </x:row>
    <x:row r="15" ht="88" customHeight="1">
      <x:c r="A15" s="17" t="str">
        <x:v>7</x:v>
      </x:c>
      <x:c r="B15" s="17" t="str">
        <x:v>7.5.2.7</x:v>
      </x:c>
      <x:c r="C15" s="17" t="str">
        <x:v>Wird eine angemessene Gruppe von Verfahren und Maßnahmen gemäß Tabelle B.3 zur Fehlervermeidung während der Integration eingesetzt?</x:v>
      </x:c>
      <x:c r="D15" s="20" t="str"/>
      <x:c r="E15" s="20" t="str"/>
      <x:c r="F15" s="18" t="str">
        <x:v>D03, D04</x:v>
      </x:c>
      <x:c r="G15" s="48" t="str">
        <x:v>Nicht geprüft</x:v>
      </x:c>
    </x:row>
  </x:sheetData>
  <x:mergeCells>
    <x:mergeCell ref="A1:G2"/>
    <x:mergeCell ref="A3:G3"/>
  </x:mergeCells>
  <x:dataValidations count="1">
    <x:dataValidation type="list" sqref="G8:G15">
      <x:formula1>"Nicht geprüft,OK,Nicht OK,N. a."</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8" hidden="0" customWidth="1"/>
    <x:col min="2" max="2" width="13" hidden="0" customWidth="1"/>
    <x:col min="3" max="3" width="34" hidden="0" customWidth="1"/>
    <x:col min="4" max="4" width="49" hidden="0" customWidth="1"/>
    <x:col min="5" max="5" width="20" hidden="0" customWidth="1"/>
    <x:col min="6" max="6" width="36" hidden="0" customWidth="1"/>
    <x:col min="7" max="7" width="24" hidden="0" customWidth="1"/>
    <x:col min="8" max="8" width="15" hidden="0" customWidth="1"/>
    <x:col min="9" max="9" width="20" hidden="0" customWidth="1"/>
    <x:col min="10" max="10" width="22" hidden="0" customWidth="1"/>
    <x:col min="11" max="11" width="34" hidden="0" customWidth="1"/>
  </x:cols>
  <x:sheetData>
    <x:row r="1" ht="28" customHeight="1">
      <x:c r="A1" s="4" t="str">
        <x:v>Eingabe- und Ausgabedokumente – Kapitel 7.5</x:v>
      </x:c>
      <x:c r="B1" s="4"/>
      <x:c r="C1" s="4"/>
      <x:c r="D1" s="4"/>
      <x:c r="E1" s="4"/>
      <x:c r="F1" s="4"/>
      <x:c r="G1" s="4"/>
      <x:c r="H1" s="4"/>
      <x:c r="I1" s="4"/>
      <x:c r="J1" s="4"/>
      <x:c r="K1" s="4"/>
    </x:row>
    <x:row r="2" ht="28" customHeight="1">
      <x:c r="A2" s="4"/>
      <x:c r="B2" s="4"/>
      <x:c r="C2" s="4"/>
      <x:c r="D2" s="4"/>
      <x:c r="E2" s="4"/>
      <x:c r="F2" s="4"/>
      <x:c r="G2" s="4"/>
      <x:c r="H2" s="4"/>
      <x:c r="I2" s="4"/>
      <x:c r="J2" s="4"/>
      <x:c r="K2" s="4"/>
    </x:row>
    <x:row r="3" ht="24" customHeight="1">
      <x:c r="A3" s="8" t="str">
        <x:v>Dokumentenregister zur rückverfolgbaren Zuordnung der Reviewnachweise</x:v>
      </x:c>
      <x:c r="B3" s="8"/>
      <x:c r="C3" s="8"/>
      <x:c r="D3" s="8"/>
      <x:c r="E3" s="8"/>
      <x:c r="F3" s="8"/>
      <x:c r="G3" s="8"/>
      <x:c r="H3" s="8"/>
      <x:c r="I3" s="8"/>
      <x:c r="J3" s="8"/>
      <x:c r="K3" s="8"/>
    </x:row>
    <x:row r="5">
      <x:c r="A5" s="49" t="str">
        <x:v>Dokumente</x:v>
      </x:c>
      <x:c r="B5" s="49" t="n">
        <x:f>COUNTA(A8:A19)</x:f>
        <x:v>12</x:v>
      </x:c>
      <x:c r="C5" s="49" t="str">
        <x:v>Eingaben</x:v>
      </x:c>
      <x:c r="D5" s="49" t="n">
        <x:f>COUNTIF(B8:B19,"Eingabe")</x:f>
        <x:v>2</x:v>
      </x:c>
      <x:c r="E5" s="49" t="str">
        <x:v>Ausgaben</x:v>
      </x:c>
      <x:c r="F5" s="49" t="n">
        <x:f>COUNTIF(B8:B19,"Ausgabe")</x:f>
        <x:v>10</x:v>
      </x:c>
      <x:c r="G5" s="49" t="str">
        <x:v>Geprüft / freigegeben</x:v>
      </x:c>
      <x:c r="H5" s="49" t="n">
        <x:f>COUNTIF(I8:I19,"Geprüft / freigegeben")</x:f>
        <x:v>0</x:v>
      </x:c>
      <x:c r="I5" s="49" t="str">
        <x:v>Nicht vorgelegt</x:v>
      </x:c>
      <x:c r="J5" s="49" t="n">
        <x:f>COUNTIF(I8:I19,"Nicht vorgelegt")</x:f>
        <x:v>12</x:v>
      </x:c>
      <x:c r="K5" s="49" t="str"/>
    </x:row>
    <x:row r="7">
      <x:c r="A7" s="47" t="str">
        <x:v>ID</x:v>
      </x:c>
      <x:c r="B7" s="47" t="str">
        <x:v>Art</x:v>
      </x:c>
      <x:c r="C7" s="47" t="str">
        <x:v>Normbegriff / Dokument</x:v>
      </x:c>
      <x:c r="D7" s="47" t="str">
        <x:v>Funktion / erwarteter Inhalt</x:v>
      </x:c>
      <x:c r="E7" s="47" t="str">
        <x:v>Bezug Prüfpunkt</x:v>
      </x:c>
      <x:c r="F7" s="47" t="str">
        <x:v>Normreferenz</x:v>
      </x:c>
      <x:c r="G7" s="47" t="str">
        <x:v>Dokumentkennung / Referenz</x:v>
      </x:c>
      <x:c r="H7" s="47" t="str">
        <x:v>Version / Index</x:v>
      </x:c>
      <x:c r="I7" s="47" t="str">
        <x:v>Status</x:v>
      </x:c>
      <x:c r="J7" s="47" t="str">
        <x:v>Verantwortlich</x:v>
      </x:c>
      <x:c r="K7" s="47" t="str">
        <x:v>Ablageort / Bemerkung</x:v>
      </x:c>
    </x:row>
    <x:row r="8" ht="64" customHeight="1">
      <x:c r="A8" s="17" t="str">
        <x:v>D01</x:v>
      </x:c>
      <x:c r="B8" s="17" t="str">
        <x:v>Eingabe</x:v>
      </x:c>
      <x:c r="C8" s="17" t="str">
        <x:v>Freigegebener Systementwurf</x:v>
      </x:c>
      <x:c r="D8" s="17" t="str">
        <x:v>Enthält den für Integration des E/E/PE-Systems erforderlichen, freigegebenen und rückverfolgbaren Nachweis.</x:v>
      </x:c>
      <x:c r="E8" s="17" t="str">
        <x:v>siehe Reviewblatt</x:v>
      </x:c>
      <x:c r="F8" s="17" t="str">
        <x:v>IEC 61508-2, 7.5.1</x:v>
      </x:c>
      <x:c r="G8" s="20" t="str"/>
      <x:c r="H8" s="20" t="str"/>
      <x:c r="I8" s="20" t="str">
        <x:v>Nicht vorgelegt</x:v>
      </x:c>
      <x:c r="J8" s="20" t="str"/>
      <x:c r="K8" s="20" t="str"/>
    </x:row>
    <x:row r="9" ht="64" customHeight="1">
      <x:c r="A9" s="17" t="str">
        <x:v>D02</x:v>
      </x:c>
      <x:c r="B9" s="17" t="str">
        <x:v>Eingabe</x:v>
      </x:c>
      <x:c r="C9" s="17" t="str">
        <x:v>Software-Integrationsstand</x:v>
      </x:c>
      <x:c r="D9" s="17" t="str">
        <x:v>Enthält den für Integration des E/E/PE-Systems erforderlichen, freigegebenen und rückverfolgbaren Nachweis.</x:v>
      </x:c>
      <x:c r="E9" s="17" t="str">
        <x:v>siehe Reviewblatt</x:v>
      </x:c>
      <x:c r="F9" s="17" t="str">
        <x:v>IEC 61508-2, 7.5.2</x:v>
      </x:c>
      <x:c r="G9" s="20" t="str"/>
      <x:c r="H9" s="20" t="str"/>
      <x:c r="I9" s="20" t="str">
        <x:v>Nicht vorgelegt</x:v>
      </x:c>
      <x:c r="J9" s="20" t="str"/>
      <x:c r="K9" s="20" t="str"/>
    </x:row>
    <x:row r="10" ht="64" customHeight="1">
      <x:c r="A10" s="17" t="str">
        <x:v>D03</x:v>
      </x:c>
      <x:c r="B10" s="17" t="str">
        <x:v>Ausgabe</x:v>
      </x:c>
      <x:c r="C10" s="17" t="str">
        <x:v>Integrationsplan</x:v>
      </x:c>
      <x:c r="D10" s="17" t="str">
        <x:v>Enthält den für Integration des E/E/PE-Systems erforderlichen, freigegebenen und rückverfolgbaren Nachweis.</x:v>
      </x:c>
      <x:c r="E10" s="17" t="str">
        <x:v>siehe Reviewblatt</x:v>
      </x:c>
      <x:c r="F10" s="17" t="str">
        <x:v>IEC 61508-2, 7.5.2</x:v>
      </x:c>
      <x:c r="G10" s="20" t="str"/>
      <x:c r="H10" s="20" t="str"/>
      <x:c r="I10" s="20" t="str">
        <x:v>Nicht vorgelegt</x:v>
      </x:c>
      <x:c r="J10" s="20" t="str"/>
      <x:c r="K10" s="20" t="str"/>
    </x:row>
    <x:row r="11" ht="64" customHeight="1">
      <x:c r="A11" s="17" t="str">
        <x:v>D04</x:v>
      </x:c>
      <x:c r="B11" s="17" t="str">
        <x:v>Ausgabe</x:v>
      </x:c>
      <x:c r="C11" s="17" t="str">
        <x:v>Auswahl der Verfahren nach Tabelle B.3</x:v>
      </x:c>
      <x:c r="D11" s="17" t="str">
        <x:v>Enthält den für Integration des E/E/PE-Systems erforderlichen, freigegebenen und rückverfolgbaren Nachweis.</x:v>
      </x:c>
      <x:c r="E11" s="17" t="str">
        <x:v>siehe Reviewblatt</x:v>
      </x:c>
      <x:c r="F11" s="17" t="str">
        <x:v>IEC 61508-2, 7.5.2</x:v>
      </x:c>
      <x:c r="G11" s="20" t="str"/>
      <x:c r="H11" s="20" t="str"/>
      <x:c r="I11" s="20" t="str">
        <x:v>Nicht vorgelegt</x:v>
      </x:c>
      <x:c r="J11" s="20" t="str"/>
      <x:c r="K11" s="20" t="str"/>
    </x:row>
    <x:row r="12" ht="64" customHeight="1">
      <x:c r="A12" s="17" t="str">
        <x:v>D05</x:v>
      </x:c>
      <x:c r="B12" s="17" t="str">
        <x:v>Ausgabe</x:v>
      </x:c>
      <x:c r="C12" s="17" t="str">
        <x:v>Integrations-Testspezifikation</x:v>
      </x:c>
      <x:c r="D12" s="17" t="str">
        <x:v>Enthält den für Integration des E/E/PE-Systems erforderlichen, freigegebenen und rückverfolgbaren Nachweis.</x:v>
      </x:c>
      <x:c r="E12" s="17" t="str">
        <x:v>siehe Reviewblatt</x:v>
      </x:c>
      <x:c r="F12" s="17" t="str">
        <x:v>IEC 61508-2, 7.5.2</x:v>
      </x:c>
      <x:c r="G12" s="20" t="str"/>
      <x:c r="H12" s="20" t="str"/>
      <x:c r="I12" s="20" t="str">
        <x:v>Nicht vorgelegt</x:v>
      </x:c>
      <x:c r="J12" s="20" t="str"/>
      <x:c r="K12" s="20" t="str"/>
    </x:row>
    <x:row r="13" ht="64" customHeight="1">
      <x:c r="A13" s="17" t="str">
        <x:v>D06</x:v>
      </x:c>
      <x:c r="B13" s="17" t="str">
        <x:v>Ausgabe</x:v>
      </x:c>
      <x:c r="C13" s="17" t="str">
        <x:v>Prüfmittel- und Kalibriernachweise</x:v>
      </x:c>
      <x:c r="D13" s="17" t="str">
        <x:v>Enthält den für Integration des E/E/PE-Systems erforderlichen, freigegebenen und rückverfolgbaren Nachweis.</x:v>
      </x:c>
      <x:c r="E13" s="17" t="str">
        <x:v>siehe Reviewblatt</x:v>
      </x:c>
      <x:c r="F13" s="17" t="str">
        <x:v>IEC 61508-2, 7.5.2</x:v>
      </x:c>
      <x:c r="G13" s="20" t="str"/>
      <x:c r="H13" s="20" t="str"/>
      <x:c r="I13" s="20" t="str">
        <x:v>Nicht vorgelegt</x:v>
      </x:c>
      <x:c r="J13" s="20" t="str"/>
      <x:c r="K13" s="20" t="str"/>
    </x:row>
    <x:row r="14" ht="64" customHeight="1">
      <x:c r="A14" s="17" t="str">
        <x:v>D07</x:v>
      </x:c>
      <x:c r="B14" s="17" t="str">
        <x:v>Ausgabe</x:v>
      </x:c>
      <x:c r="C14" s="17" t="str">
        <x:v>Integrations-Testbericht</x:v>
      </x:c>
      <x:c r="D14" s="17" t="str">
        <x:v>Enthält den für Integration des E/E/PE-Systems erforderlichen, freigegebenen und rückverfolgbaren Nachweis.</x:v>
      </x:c>
      <x:c r="E14" s="17" t="str">
        <x:v>siehe Reviewblatt</x:v>
      </x:c>
      <x:c r="F14" s="17" t="str">
        <x:v>IEC 61508-2, 7.5.2</x:v>
      </x:c>
      <x:c r="G14" s="20" t="str"/>
      <x:c r="H14" s="20" t="str"/>
      <x:c r="I14" s="20" t="str">
        <x:v>Nicht vorgelegt</x:v>
      </x:c>
      <x:c r="J14" s="20" t="str"/>
      <x:c r="K14" s="20" t="str"/>
    </x:row>
    <x:row r="15" ht="64" customHeight="1">
      <x:c r="A15" s="17" t="str">
        <x:v>D08</x:v>
      </x:c>
      <x:c r="B15" s="17" t="str">
        <x:v>Ausgabe</x:v>
      </x:c>
      <x:c r="C15" s="17" t="str">
        <x:v>Fehler- und Abweichungsprotokoll</x:v>
      </x:c>
      <x:c r="D15" s="17" t="str">
        <x:v>Enthält den für Integration des E/E/PE-Systems erforderlichen, freigegebenen und rückverfolgbaren Nachweis.</x:v>
      </x:c>
      <x:c r="E15" s="17" t="str">
        <x:v>siehe Reviewblatt</x:v>
      </x:c>
      <x:c r="F15" s="17" t="str">
        <x:v>IEC 61508-2, 7.5.2</x:v>
      </x:c>
      <x:c r="G15" s="20" t="str"/>
      <x:c r="H15" s="20" t="str"/>
      <x:c r="I15" s="20" t="str">
        <x:v>Nicht vorgelegt</x:v>
      </x:c>
      <x:c r="J15" s="20" t="str"/>
      <x:c r="K15" s="20" t="str"/>
    </x:row>
    <x:row r="16" ht="64" customHeight="1">
      <x:c r="A16" s="17" t="str">
        <x:v>D09</x:v>
      </x:c>
      <x:c r="B16" s="17" t="str">
        <x:v>Ausgabe</x:v>
      </x:c>
      <x:c r="C16" s="17" t="str">
        <x:v>Werkzeug- und Betriebsmittelregister</x:v>
      </x:c>
      <x:c r="D16" s="17" t="str">
        <x:v>Enthält den für Integration des E/E/PE-Systems erforderlichen, freigegebenen und rückverfolgbaren Nachweis.</x:v>
      </x:c>
      <x:c r="E16" s="17" t="str">
        <x:v>siehe Reviewblatt</x:v>
      </x:c>
      <x:c r="F16" s="17" t="str">
        <x:v>IEC 61508-2, 7.5.2</x:v>
      </x:c>
      <x:c r="G16" s="20" t="str"/>
      <x:c r="H16" s="20" t="str"/>
      <x:c r="I16" s="20" t="str">
        <x:v>Nicht vorgelegt</x:v>
      </x:c>
      <x:c r="J16" s="20" t="str"/>
      <x:c r="K16" s="20" t="str"/>
    </x:row>
    <x:row r="17" ht="64" customHeight="1">
      <x:c r="A17" s="17" t="str">
        <x:v>D10</x:v>
      </x:c>
      <x:c r="B17" s="17" t="str">
        <x:v>Ausgabe</x:v>
      </x:c>
      <x:c r="C17" s="17" t="str">
        <x:v>Konfigurations- und Änderungsnachweis</x:v>
      </x:c>
      <x:c r="D17" s="17" t="str">
        <x:v>Enthält den für Integration des E/E/PE-Systems erforderlichen, freigegebenen und rückverfolgbaren Nachweis.</x:v>
      </x:c>
      <x:c r="E17" s="17" t="str">
        <x:v>siehe Reviewblatt</x:v>
      </x:c>
      <x:c r="F17" s="17" t="str">
        <x:v>IEC 61508-2, 7.5.2</x:v>
      </x:c>
      <x:c r="G17" s="20" t="str"/>
      <x:c r="H17" s="20" t="str"/>
      <x:c r="I17" s="20" t="str">
        <x:v>Nicht vorgelegt</x:v>
      </x:c>
      <x:c r="J17" s="20" t="str"/>
      <x:c r="K17" s="20" t="str"/>
    </x:row>
    <x:row r="18" ht="64" customHeight="1">
      <x:c r="A18" s="17" t="str">
        <x:v>D11</x:v>
      </x:c>
      <x:c r="B18" s="17" t="str">
        <x:v>Ausgabe</x:v>
      </x:c>
      <x:c r="C18" s="17" t="str">
        <x:v>Review- und Freigabenachweis</x:v>
      </x:c>
      <x:c r="D18" s="17" t="str">
        <x:v>Enthält den für Integration des E/E/PE-Systems erforderlichen, freigegebenen und rückverfolgbaren Nachweis.</x:v>
      </x:c>
      <x:c r="E18" s="17" t="str">
        <x:v>siehe Reviewblatt</x:v>
      </x:c>
      <x:c r="F18" s="17" t="str">
        <x:v>IEC 61508-2, 7.5.2</x:v>
      </x:c>
      <x:c r="G18" s="20" t="str"/>
      <x:c r="H18" s="20" t="str"/>
      <x:c r="I18" s="20" t="str">
        <x:v>Nicht vorgelegt</x:v>
      </x:c>
      <x:c r="J18" s="20" t="str"/>
      <x:c r="K18" s="20" t="str"/>
    </x:row>
    <x:row r="19" ht="64" customHeight="1">
      <x:c r="A19" s="17" t="str">
        <x:v>D12</x:v>
      </x:c>
      <x:c r="B19" s="17" t="str">
        <x:v>Ausgabe</x:v>
      </x:c>
      <x:c r="C19" s="17" t="str">
        <x:v>Integrations-Abdeckungsmatrix</x:v>
      </x:c>
      <x:c r="D19" s="17" t="str">
        <x:v>Enthält den für Integration des E/E/PE-Systems erforderlichen, freigegebenen und rückverfolgbaren Nachweis.</x:v>
      </x:c>
      <x:c r="E19" s="17" t="str">
        <x:v>siehe Reviewblatt</x:v>
      </x:c>
      <x:c r="F19" s="17" t="str">
        <x:v>IEC 61508-2, 7.5.2</x:v>
      </x:c>
      <x:c r="G19" s="20" t="str"/>
      <x:c r="H19" s="20" t="str"/>
      <x:c r="I19" s="20" t="str">
        <x:v>Nicht vorgelegt</x:v>
      </x:c>
      <x:c r="J19" s="20" t="str"/>
      <x:c r="K19" s="20" t="str"/>
    </x:row>
  </x:sheetData>
  <x:mergeCells>
    <x:mergeCell ref="A1:K2"/>
    <x:mergeCell ref="A3:K3"/>
  </x:mergeCells>
  <x:dataValidations count="1">
    <x:dataValidation type="list" sqref="I8:I19">
      <x:formula1>"Nicht vorgelegt,In Prüfung,Geprüft / freigegeben,Nicht anwendbar"</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13" hidden="0" customWidth="1"/>
    <x:col min="3" max="3" width="58" hidden="0" customWidth="1"/>
    <x:col min="4" max="4" width="20" hidden="0" customWidth="1"/>
    <x:col min="5" max="5" width="24" hidden="0" customWidth="1"/>
    <x:col min="6" max="6" width="16" hidden="0" customWidth="1"/>
    <x:col min="7" max="7" width="18" hidden="0" customWidth="1"/>
  </x:cols>
  <x:sheetData>
    <x:row r="1" ht="28" customHeight="1">
      <x:c r="A1" s="4" t="str">
        <x:v>Review-Ergebnisse und durchzuführende Maßnahmen</x:v>
      </x:c>
      <x:c r="B1" s="4"/>
      <x:c r="C1" s="4"/>
      <x:c r="D1" s="4"/>
      <x:c r="E1" s="4"/>
      <x:c r="F1" s="4"/>
      <x:c r="G1" s="4"/>
    </x:row>
    <x:row r="2" ht="28" customHeight="1">
      <x:c r="A2" s="4"/>
      <x:c r="B2" s="4"/>
      <x:c r="C2" s="4"/>
      <x:c r="D2" s="4"/>
      <x:c r="E2" s="4"/>
      <x:c r="F2" s="4"/>
      <x:c r="G2" s="4"/>
    </x:row>
    <x:row r="3" ht="24" customHeight="1">
      <x:c r="A3" s="8" t="str">
        <x:v>A = Aufgabe · I = Information · B = Beschluss. Direkter Rückverfolgungsbezug zu Review 7.5.</x:v>
      </x:c>
      <x:c r="B3" s="8"/>
      <x:c r="C3" s="8"/>
      <x:c r="D3" s="8"/>
      <x:c r="E3" s="8"/>
      <x:c r="F3" s="8"/>
      <x:c r="G3" s="8"/>
    </x:row>
    <x:row r="5">
      <x:c r="A5" s="47" t="str">
        <x:v>ID</x:v>
      </x:c>
      <x:c r="B5" s="47" t="str">
        <x:v>Typ</x:v>
      </x:c>
      <x:c r="C5" s="47" t="str">
        <x:v>Review-Ergebnis / Maßnahme</x:v>
      </x:c>
      <x:c r="D5" s="47" t="str">
        <x:v>Bezug Prüfpunkt</x:v>
      </x:c>
      <x:c r="E5" s="47" t="str">
        <x:v>Verantwortlich</x:v>
      </x:c>
      <x:c r="F5" s="47" t="str">
        <x:v>Fällig am</x:v>
      </x:c>
      <x:c r="G5" s="47" t="str">
        <x:v>Status</x:v>
      </x:c>
    </x:row>
    <x:row r="6" ht="42" customHeight="1">
      <x:c r="A6" s="17" t="str">
        <x:v>M-01</x:v>
      </x:c>
      <x:c r="B6" s="20" t="str"/>
      <x:c r="C6" s="20" t="str"/>
      <x:c r="D6" s="20" t="str"/>
      <x:c r="E6" s="20" t="str"/>
      <x:c r="F6" s="20" t="str"/>
      <x:c r="G6" s="17" t="str">
        <x:v>Offen</x:v>
      </x:c>
    </x:row>
    <x:row r="7" ht="42" customHeight="1">
      <x:c r="A7" s="17" t="str">
        <x:v>M-02</x:v>
      </x:c>
      <x:c r="B7" s="20" t="str"/>
      <x:c r="C7" s="20" t="str"/>
      <x:c r="D7" s="20" t="str"/>
      <x:c r="E7" s="20" t="str"/>
      <x:c r="F7" s="20" t="str"/>
      <x:c r="G7" s="17" t="str">
        <x:v>Offen</x:v>
      </x:c>
    </x:row>
    <x:row r="8" ht="42" customHeight="1">
      <x:c r="A8" s="17" t="str">
        <x:v>M-03</x:v>
      </x:c>
      <x:c r="B8" s="20" t="str"/>
      <x:c r="C8" s="20" t="str"/>
      <x:c r="D8" s="20" t="str"/>
      <x:c r="E8" s="20" t="str"/>
      <x:c r="F8" s="20" t="str"/>
      <x:c r="G8" s="17" t="str">
        <x:v>Offen</x:v>
      </x:c>
    </x:row>
    <x:row r="9" ht="42" customHeight="1">
      <x:c r="A9" s="17" t="str">
        <x:v>M-04</x:v>
      </x:c>
      <x:c r="B9" s="20" t="str"/>
      <x:c r="C9" s="20" t="str"/>
      <x:c r="D9" s="20" t="str"/>
      <x:c r="E9" s="20" t="str"/>
      <x:c r="F9" s="20" t="str"/>
      <x:c r="G9" s="17" t="str">
        <x:v>Offen</x:v>
      </x:c>
    </x:row>
    <x:row r="10" ht="42" customHeight="1">
      <x:c r="A10" s="17" t="str">
        <x:v>M-05</x:v>
      </x:c>
      <x:c r="B10" s="20" t="str"/>
      <x:c r="C10" s="20" t="str"/>
      <x:c r="D10" s="20" t="str"/>
      <x:c r="E10" s="20" t="str"/>
      <x:c r="F10" s="20" t="str"/>
      <x:c r="G10" s="17" t="str">
        <x:v>Offen</x:v>
      </x:c>
    </x:row>
    <x:row r="11" ht="42" customHeight="1">
      <x:c r="A11" s="17" t="str">
        <x:v>M-06</x:v>
      </x:c>
      <x:c r="B11" s="20" t="str"/>
      <x:c r="C11" s="20" t="str"/>
      <x:c r="D11" s="20" t="str"/>
      <x:c r="E11" s="20" t="str"/>
      <x:c r="F11" s="20" t="str"/>
      <x:c r="G11" s="17" t="str">
        <x:v>Offen</x:v>
      </x:c>
    </x:row>
    <x:row r="12" ht="42" customHeight="1">
      <x:c r="A12" s="17" t="str">
        <x:v>M-07</x:v>
      </x:c>
      <x:c r="B12" s="20" t="str"/>
      <x:c r="C12" s="20" t="str"/>
      <x:c r="D12" s="20" t="str"/>
      <x:c r="E12" s="20" t="str"/>
      <x:c r="F12" s="20" t="str"/>
      <x:c r="G12" s="17" t="str">
        <x:v>Offen</x:v>
      </x:c>
    </x:row>
    <x:row r="13" ht="42" customHeight="1">
      <x:c r="A13" s="17" t="str">
        <x:v>M-08</x:v>
      </x:c>
      <x:c r="B13" s="20" t="str"/>
      <x:c r="C13" s="20" t="str"/>
      <x:c r="D13" s="20" t="str"/>
      <x:c r="E13" s="20" t="str"/>
      <x:c r="F13" s="20" t="str"/>
      <x:c r="G13" s="17" t="str">
        <x:v>Offen</x:v>
      </x:c>
    </x:row>
    <x:row r="14" ht="42" customHeight="1">
      <x:c r="A14" s="17" t="str">
        <x:v>M-09</x:v>
      </x:c>
      <x:c r="B14" s="20" t="str"/>
      <x:c r="C14" s="20" t="str"/>
      <x:c r="D14" s="20" t="str"/>
      <x:c r="E14" s="20" t="str"/>
      <x:c r="F14" s="20" t="str"/>
      <x:c r="G14" s="17" t="str">
        <x:v>Offen</x:v>
      </x:c>
    </x:row>
    <x:row r="15" ht="42" customHeight="1">
      <x:c r="A15" s="17" t="str">
        <x:v>M-10</x:v>
      </x:c>
      <x:c r="B15" s="20" t="str"/>
      <x:c r="C15" s="20" t="str"/>
      <x:c r="D15" s="20" t="str"/>
      <x:c r="E15" s="20" t="str"/>
      <x:c r="F15" s="20" t="str"/>
      <x:c r="G15" s="17" t="str">
        <x:v>Offen</x:v>
      </x:c>
    </x:row>
    <x:row r="16" ht="42" customHeight="1">
      <x:c r="A16" s="17" t="str">
        <x:v>M-11</x:v>
      </x:c>
      <x:c r="B16" s="20" t="str"/>
      <x:c r="C16" s="20" t="str"/>
      <x:c r="D16" s="20" t="str"/>
      <x:c r="E16" s="20" t="str"/>
      <x:c r="F16" s="20" t="str"/>
      <x:c r="G16" s="17" t="str">
        <x:v>Offen</x:v>
      </x:c>
    </x:row>
    <x:row r="17" ht="42" customHeight="1">
      <x:c r="A17" s="17" t="str">
        <x:v>M-12</x:v>
      </x:c>
      <x:c r="B17" s="20" t="str"/>
      <x:c r="C17" s="20" t="str"/>
      <x:c r="D17" s="20" t="str"/>
      <x:c r="E17" s="20" t="str"/>
      <x:c r="F17" s="20" t="str"/>
      <x:c r="G17" s="17" t="str">
        <x:v>Offen</x:v>
      </x:c>
    </x:row>
    <x:row r="18" ht="42" customHeight="1">
      <x:c r="A18" s="17" t="str">
        <x:v>M-13</x:v>
      </x:c>
      <x:c r="B18" s="20" t="str"/>
      <x:c r="C18" s="20" t="str"/>
      <x:c r="D18" s="20" t="str"/>
      <x:c r="E18" s="20" t="str"/>
      <x:c r="F18" s="20" t="str"/>
      <x:c r="G18" s="17" t="str">
        <x:v>Offen</x:v>
      </x:c>
    </x:row>
    <x:row r="19" ht="42" customHeight="1">
      <x:c r="A19" s="17" t="str">
        <x:v>M-14</x:v>
      </x:c>
      <x:c r="B19" s="20" t="str"/>
      <x:c r="C19" s="20" t="str"/>
      <x:c r="D19" s="20" t="str"/>
      <x:c r="E19" s="20" t="str"/>
      <x:c r="F19" s="20" t="str"/>
      <x:c r="G19" s="17" t="str">
        <x:v>Offen</x:v>
      </x:c>
    </x:row>
    <x:row r="20" ht="42" customHeight="1">
      <x:c r="A20" s="17" t="str">
        <x:v>M-15</x:v>
      </x:c>
      <x:c r="B20" s="20" t="str"/>
      <x:c r="C20" s="20" t="str"/>
      <x:c r="D20" s="20" t="str"/>
      <x:c r="E20" s="20" t="str"/>
      <x:c r="F20" s="20" t="str"/>
      <x:c r="G20" s="17" t="str">
        <x:v>Offen</x:v>
      </x:c>
    </x:row>
    <x:row r="21" ht="42" customHeight="1">
      <x:c r="A21" s="17" t="str">
        <x:v>M-16</x:v>
      </x:c>
      <x:c r="B21" s="20" t="str"/>
      <x:c r="C21" s="20" t="str"/>
      <x:c r="D21" s="20" t="str"/>
      <x:c r="E21" s="20" t="str"/>
      <x:c r="F21" s="20" t="str"/>
      <x:c r="G21" s="17" t="str">
        <x:v>Offen</x:v>
      </x:c>
    </x:row>
    <x:row r="22" ht="42" customHeight="1">
      <x:c r="A22" s="17" t="str">
        <x:v>M-17</x:v>
      </x:c>
      <x:c r="B22" s="20" t="str"/>
      <x:c r="C22" s="20" t="str"/>
      <x:c r="D22" s="20" t="str"/>
      <x:c r="E22" s="20" t="str"/>
      <x:c r="F22" s="20" t="str"/>
      <x:c r="G22" s="17" t="str">
        <x:v>Offen</x:v>
      </x:c>
    </x:row>
    <x:row r="23" ht="42" customHeight="1">
      <x:c r="A23" s="17" t="str">
        <x:v>M-18</x:v>
      </x:c>
      <x:c r="B23" s="20" t="str"/>
      <x:c r="C23" s="20" t="str"/>
      <x:c r="D23" s="20" t="str"/>
      <x:c r="E23" s="20" t="str"/>
      <x:c r="F23" s="20" t="str"/>
      <x:c r="G23" s="17" t="str">
        <x:v>Offen</x:v>
      </x:c>
    </x:row>
    <x:row r="24" ht="42" customHeight="1">
      <x:c r="A24" s="17" t="str">
        <x:v>M-19</x:v>
      </x:c>
      <x:c r="B24" s="20" t="str"/>
      <x:c r="C24" s="20" t="str"/>
      <x:c r="D24" s="20" t="str"/>
      <x:c r="E24" s="20" t="str"/>
      <x:c r="F24" s="20" t="str"/>
      <x:c r="G24" s="17" t="str">
        <x:v>Offen</x:v>
      </x:c>
    </x:row>
    <x:row r="25" ht="42" customHeight="1">
      <x:c r="A25" s="17" t="str">
        <x:v>M-20</x:v>
      </x:c>
      <x:c r="B25" s="20" t="str"/>
      <x:c r="C25" s="20" t="str"/>
      <x:c r="D25" s="20" t="str"/>
      <x:c r="E25" s="20" t="str"/>
      <x:c r="F25" s="20" t="str"/>
      <x:c r="G25" s="17" t="str">
        <x:v>Offen</x:v>
      </x:c>
    </x:row>
  </x:sheetData>
  <x:mergeCells>
    <x:mergeCell ref="A1:G2"/>
    <x:mergeCell ref="A3:G3"/>
  </x:mergeCells>
  <x:dataValidations count="2">
    <x:dataValidation type="list" sqref="B6:B25">
      <x:formula1>"A,I,B"</x:formula1>
    </x:dataValidation>
    <x:dataValidation type="list" sqref="G6:G25">
      <x:formula1>"Offen,In Bearbeitung,Erledigt,Entfällt"</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42" hidden="0" customWidth="1"/>
    <x:col min="3" max="3" width="54" hidden="0" customWidth="1"/>
    <x:col min="4" max="4" width="45" hidden="0" customWidth="1"/>
  </x:cols>
  <x:sheetData>
    <x:row r="1" ht="28" customHeight="1">
      <x:c r="A1" s="4" t="str">
        <x:v>Legende und Anwendungshinweise</x:v>
      </x:c>
      <x:c r="B1" s="4"/>
      <x:c r="C1" s="4"/>
      <x:c r="D1" s="4"/>
    </x:row>
    <x:row r="2" ht="28" customHeight="1">
      <x:c r="A2" s="4"/>
      <x:c r="B2" s="4"/>
      <x:c r="C2" s="4"/>
      <x:c r="D2" s="4"/>
    </x:row>
    <x:row r="3" ht="24" customHeight="1">
      <x:c r="A3" s="8" t="str">
        <x:v>Anwendung für IEC 61508-2, Kapitel 7.5</x:v>
      </x:c>
      <x:c r="B3" s="8"/>
      <x:c r="C3" s="8"/>
      <x:c r="D3" s="8"/>
    </x:row>
    <x:row r="5">
      <x:c r="A5" s="47" t="str">
        <x:v>Prüfpunktarten in IEC 61508-2, Kapitel 7.5</x:v>
      </x:c>
      <x:c r="B5" s="47" t="str">
        <x:v>Empfehlungsgrade nach IEC 61508</x:v>
      </x:c>
      <x:c r="C5" s="47" t="str"/>
      <x:c r="D5" s="47" t="str"/>
    </x:row>
    <x:row r="6">
      <x:c r="A6" s="47" t="str">
        <x:v>Kennzeichen</x:v>
      </x:c>
      <x:c r="B6" s="47" t="str">
        <x:v>Bedeutung</x:v>
      </x:c>
      <x:c r="C6" s="47" t="str">
        <x:v>Anwendung im Review</x:v>
      </x:c>
      <x:c r="D6" s="47" t="str">
        <x:v>Geltungsbereich</x:v>
      </x:c>
    </x:row>
    <x:row r="7" ht="52" customHeight="1">
      <x:c r="A7" s="17" t="str">
        <x:v>A</x:v>
      </x:c>
      <x:c r="B7" s="17" t="str">
        <x:v>Verbindliche Anforderung</x:v>
      </x:c>
      <x:c r="C7" s="17" t="str">
        <x:v>Erfüllung anhand eines konkreten, freigegebenen Nachweises bewerten.</x:v>
      </x:c>
      <x:c r="D7" s="17" t="str">
        <x:v>IEC 61508-2, 7.5.2</x:v>
      </x:c>
    </x:row>
    <x:row r="8" ht="52" customHeight="1">
      <x:c r="A8" s="17" t="str">
        <x:v>Z</x:v>
      </x:c>
      <x:c r="B8" s="17" t="str">
        <x:v>Ziel des Unterabschnitts</x:v>
      </x:c>
      <x:c r="C8" s="17" t="str">
        <x:v>Prüfen, ob die geforderte technische Wirkung vollständig erreicht wird.</x:v>
      </x:c>
      <x:c r="D8" s="17" t="str">
        <x:v>IEC 61508-2, 7.5.1</x:v>
      </x:c>
    </x:row>
    <x:row r="9" ht="52" customHeight="1">
      <x:c r="A9" s="17" t="str">
        <x:v>I</x:v>
      </x:c>
      <x:c r="B9" s="17" t="str">
        <x:v>Informative Anmerkung</x:v>
      </x:c>
      <x:c r="C9" s="17" t="str">
        <x:v>Als Auslegungshilfe verwenden; nicht als eigenständige Muss-Anforderung behandeln.</x:v>
      </x:c>
      <x:c r="D9" s="17" t="str">
        <x:v>Anmerkungen zu 7.5</x:v>
      </x:c>
    </x:row>
    <x:row r="10" ht="52" customHeight="1"/>
    <x:row r="11" ht="52" customHeight="1">
      <x:c r="A11" s="47" t="str">
        <x:v>Arbeitsweise</x:v>
      </x:c>
      <x:c r="B11" s="47" t="str"/>
      <x:c r="C11" s="47" t="str"/>
      <x:c r="D11" s="47" t="str"/>
    </x:row>
    <x:row r="12" ht="52" customHeight="1">
      <x:c r="A12" s="47" t="str">
        <x:v>Schritt</x:v>
      </x:c>
      <x:c r="B12" s="47" t="str">
        <x:v>Vorgehen</x:v>
      </x:c>
      <x:c r="C12" s="47" t="str">
        <x:v>Dokumentation</x:v>
      </x:c>
      <x:c r="D12" s="47" t="str">
        <x:v>Hinweis</x:v>
      </x:c>
    </x:row>
    <x:row r="13" ht="52" customHeight="1">
      <x:c r="A13" s="17" t="str">
        <x:v>1</x:v>
      </x:c>
      <x:c r="B13" s="17" t="str">
        <x:v>Reviewdaten auf Übersicht ausfüllen.</x:v>
      </x:c>
      <x:c r="C13" s="17" t="str">
        <x:v>Projekt, Dokument, SIL, Teilnehmer und Termin erfassen.</x:v>
      </x:c>
      <x:c r="D13" s="17" t="str">
        <x:v>Gelbe Zellen sind Eingabefelder.</x:v>
      </x:c>
    </x:row>
    <x:row r="14" ht="52" customHeight="1">
      <x:c r="A14" s="17" t="str">
        <x:v>2</x:v>
      </x:c>
      <x:c r="B14" s="17" t="str">
        <x:v>Dokumente registrieren.</x:v>
      </x:c>
      <x:c r="C14" s="17" t="str">
        <x:v>Kennung, Version, Status, Verantwortlichen und Ablageort eintragen.</x:v>
      </x:c>
      <x:c r="D14" s="17" t="str">
        <x:v>D01 bis D12 sind für Kapitel 7.5 vorbereitet.</x:v>
      </x:c>
    </x:row>
    <x:row r="15" ht="52" customHeight="1">
      <x:c r="A15" s="17" t="str">
        <x:v>3</x:v>
      </x:c>
      <x:c r="B15" s="17" t="str">
        <x:v>Prüfpunkte bewerten.</x:v>
      </x:c>
      <x:c r="C15" s="17" t="str">
        <x:v>Auf Review 7.5 Ergebnis und konkrete Nachweise eintragen.</x:v>
      </x:c>
      <x:c r="D15" s="17" t="str">
        <x:v>Status über das Auswahlfeld setzen.</x:v>
      </x:c>
    </x:row>
    <x:row r="16" ht="52" customHeight="1">
      <x:c r="A16" s="17" t="str">
        <x:v>4</x:v>
      </x:c>
      <x:c r="B16" s="17" t="str">
        <x:v>Maßnahmen erfassen.</x:v>
      </x:c>
      <x:c r="C16" s="17" t="str">
        <x:v>Abweichungen und Beschlüsse mit Verantwortlichem und Termin führen.</x:v>
      </x:c>
      <x:c r="D16" s="17" t="str">
        <x:v>IDs M-01 bis M-20 sind vorbereitet.</x:v>
      </x:c>
    </x:row>
    <x:row r="17" ht="52" customHeight="1">
      <x:c r="A17" s="17" t="str">
        <x:v>5</x:v>
      </x:c>
      <x:c r="B17" s="17" t="str">
        <x:v>Teil-7-Referenzen anwenden.</x:v>
      </x:c>
      <x:c r="C17" s="17" t="str">
        <x:v>Empfehlungsgrad und Wirksamkeit für SIL 1 bis SIL 3 getrennt bewerten.</x:v>
      </x:c>
      <x:c r="D17" s="17" t="str">
        <x:v>Teil-7-Verfahren sind informativ; die Muss-Anforderung folgt aus Teil 2.</x:v>
      </x:c>
    </x:row>
    <x:row r="18" ht="52" customHeight="1">
      <x:c r="A18" s="17" t="str">
        <x:v>6</x:v>
      </x:c>
      <x:c r="B18" s="17" t="str">
        <x:v>Gesamtergebnis festlegen.</x:v>
      </x:c>
      <x:c r="C18" s="17" t="str">
        <x:v>Ergebnis, Begründung und Zusammenfassung dokumentieren.</x:v>
      </x:c>
      <x:c r="D18" s="17" t="str">
        <x:v>Kennzahlen werden automatisch berechnet.</x:v>
      </x:c>
    </x:row>
    <x:row r="19" ht="52" customHeight="1">
      <x:c r="A19" s="17" t="str">
        <x:v>7</x:v>
      </x:c>
      <x:c r="B19" s="17" t="str">
        <x:v>Unterschriften dokumentieren.</x:v>
      </x:c>
      <x:c r="C19" s="17" t="str">
        <x:v>Name, Funktion, Datum und Bestätigung eintragen.</x:v>
      </x:c>
      <x:c r="D19" s="17" t="str">
        <x:v>Digital oder nach Ausdruck verwendbar.</x:v>
      </x:c>
    </x:row>
    <x:row r="20" ht="52" customHeight="1"/>
    <x:row r="21" ht="38" customHeight="1">
      <x:c r="A21" s="52" t="str">
        <x:v>Quellen: DIN EN 61508-2, Kapitel 7.5; DIN EN 61508-7 gemäß den exakt angegebenen Einzelreferenzen.</x:v>
      </x:c>
      <x:c r="B21" s="52"/>
      <x:c r="C21" s="52"/>
      <x:c r="D21" s="52"/>
    </x:row>
  </x:sheetData>
  <x:mergeCells>
    <x:mergeCell ref="A1:D2"/>
    <x:mergeCell ref="A3:D3"/>
    <x:mergeCell ref="A21:D21"/>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5" hidden="0" customWidth="1"/>
    <x:col min="2" max="2" width="32" hidden="0" customWidth="1"/>
    <x:col min="3" max="3" width="22" hidden="0" customWidth="1"/>
    <x:col min="4" max="4" width="22" hidden="0" customWidth="1"/>
    <x:col min="5" max="5" width="45" hidden="0" customWidth="1"/>
  </x:cols>
  <x:sheetData>
    <x:row r="1" ht="28" customHeight="1">
      <x:c r="A1" s="4" t="str">
        <x:v>Anhang Formblatt Unterschriften</x:v>
      </x:c>
      <x:c r="B1" s="4"/>
      <x:c r="C1" s="4"/>
      <x:c r="D1" s="4"/>
      <x:c r="E1" s="4"/>
    </x:row>
    <x:row r="2" ht="28" customHeight="1">
      <x:c r="A2" s="4"/>
      <x:c r="B2" s="4"/>
      <x:c r="C2" s="4"/>
      <x:c r="D2" s="4"/>
      <x:c r="E2" s="4"/>
    </x:row>
    <x:row r="3" ht="24" customHeight="1">
      <x:c r="A3" s="8" t="str">
        <x:v>Bestätigung des Reviews nach IEC 61508-2, Kapitel 7.5</x:v>
      </x:c>
      <x:c r="B3" s="8"/>
      <x:c r="C3" s="8"/>
      <x:c r="D3" s="8"/>
      <x:c r="E3" s="8"/>
    </x:row>
    <x:row r="5">
      <x:c r="A5" s="47" t="str">
        <x:v>Name</x:v>
      </x:c>
      <x:c r="B5" s="47" t="str">
        <x:v>Funktion / Organisation</x:v>
      </x:c>
      <x:c r="C5" s="47" t="str">
        <x:v>Datum</x:v>
      </x:c>
      <x:c r="D5" s="47" t="str">
        <x:v>Bestätigung</x:v>
      </x:c>
      <x:c r="E5" s="47" t="str">
        <x:v>Bemerkung</x:v>
      </x:c>
    </x:row>
    <x:row r="6" ht="50" customHeight="1">
      <x:c r="A6" s="20" t="str"/>
      <x:c r="B6" s="20" t="str"/>
      <x:c r="C6" s="20" t="str"/>
      <x:c r="D6" s="20" t="str"/>
      <x:c r="E6" s="20" t="str"/>
    </x:row>
    <x:row r="7" ht="50" customHeight="1">
      <x:c r="A7" s="20" t="str"/>
      <x:c r="B7" s="20" t="str"/>
      <x:c r="C7" s="20" t="str"/>
      <x:c r="D7" s="20" t="str"/>
      <x:c r="E7" s="20" t="str"/>
    </x:row>
    <x:row r="8" ht="50" customHeight="1">
      <x:c r="A8" s="20" t="str"/>
      <x:c r="B8" s="20" t="str"/>
      <x:c r="C8" s="20" t="str"/>
      <x:c r="D8" s="20" t="str"/>
      <x:c r="E8" s="20" t="str"/>
    </x:row>
    <x:row r="9" ht="50" customHeight="1">
      <x:c r="A9" s="20" t="str"/>
      <x:c r="B9" s="20" t="str"/>
      <x:c r="C9" s="20" t="str"/>
      <x:c r="D9" s="20" t="str"/>
      <x:c r="E9" s="20" t="str"/>
    </x:row>
    <x:row r="10" ht="50" customHeight="1">
      <x:c r="A10" s="20" t="str"/>
      <x:c r="B10" s="20" t="str"/>
      <x:c r="C10" s="20" t="str"/>
      <x:c r="D10" s="20" t="str"/>
      <x:c r="E10" s="20" t="str"/>
    </x:row>
    <x:row r="11" ht="50" customHeight="1">
      <x:c r="A11" s="20" t="str"/>
      <x:c r="B11" s="20" t="str"/>
      <x:c r="C11" s="20" t="str"/>
      <x:c r="D11" s="20" t="str"/>
      <x:c r="E11" s="20" t="str"/>
    </x:row>
    <x:row r="12" ht="50" customHeight="1">
      <x:c r="A12" s="20" t="str"/>
      <x:c r="B12" s="20" t="str"/>
      <x:c r="C12" s="20" t="str"/>
      <x:c r="D12" s="20" t="str"/>
      <x:c r="E12" s="20" t="str"/>
    </x:row>
    <x:row r="13" ht="50" customHeight="1">
      <x:c r="A13" s="20" t="str"/>
      <x:c r="B13" s="20" t="str"/>
      <x:c r="C13" s="20" t="str"/>
      <x:c r="D13" s="20" t="str"/>
      <x:c r="E13" s="20" t="str"/>
    </x:row>
    <x:row r="14" ht="50" customHeight="1">
      <x:c r="A14" s="20" t="str"/>
      <x:c r="B14" s="20" t="str"/>
      <x:c r="C14" s="20" t="str"/>
      <x:c r="D14" s="20" t="str"/>
      <x:c r="E14" s="20" t="str"/>
    </x:row>
    <x:row r="15" ht="50" customHeight="1">
      <x:c r="A15" s="20" t="str"/>
      <x:c r="B15" s="20" t="str"/>
      <x:c r="C15" s="20" t="str"/>
      <x:c r="D15" s="20" t="str"/>
      <x:c r="E15" s="20" t="str"/>
    </x:row>
  </x:sheetData>
  <x:mergeCells>
    <x:mergeCell ref="A1:E2"/>
    <x:mergeCell ref="A3:E3"/>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36" hidden="0" customWidth="1"/>
    <x:col min="3" max="3" width="72" hidden="0" customWidth="1"/>
    <x:col min="4" max="4" width="24" hidden="0" customWidth="1"/>
    <x:col min="5" max="5" width="18" hidden="0" customWidth="1"/>
    <x:col min="6" max="6" width="18" hidden="0" customWidth="1"/>
    <x:col min="7" max="7" width="18" hidden="0" customWidth="1"/>
    <x:col min="8" max="8" width="38" hidden="0" customWidth="1"/>
    <x:col min="9" max="9" width="36" hidden="0" customWidth="1"/>
  </x:cols>
  <x:sheetData>
    <x:row r="1" ht="28" customHeight="1">
      <x:c r="A1" s="4" t="str">
        <x:v>Verfahren und Maßnahmen – IEC 61508-2, Kapitel 7.5</x:v>
      </x:c>
      <x:c r="B1" s="4"/>
      <x:c r="C1" s="4"/>
      <x:c r="D1" s="4"/>
      <x:c r="E1" s="4"/>
      <x:c r="F1" s="4"/>
      <x:c r="G1" s="4"/>
      <x:c r="H1" s="4"/>
      <x:c r="I1" s="4"/>
    </x:row>
    <x:row r="2" ht="28" customHeight="1">
      <x:c r="A2" s="4"/>
      <x:c r="B2" s="4"/>
      <x:c r="C2" s="4"/>
      <x:c r="D2" s="4"/>
      <x:c r="E2" s="4"/>
      <x:c r="F2" s="4"/>
      <x:c r="G2" s="4"/>
      <x:c r="H2" s="4"/>
      <x:c r="I2" s="4"/>
    </x:row>
    <x:row r="3" ht="24" customHeight="1">
      <x:c r="A3" s="8" t="str">
        <x:v>Exakte Referenzen auf IEC 61508-7; Erläuterungen sind ingenieurwissenschaftlich aus den referenzierten Abschnitten abgeleitet.</x:v>
      </x:c>
      <x:c r="B3" s="8"/>
      <x:c r="C3" s="8"/>
      <x:c r="D3" s="8"/>
      <x:c r="E3" s="8"/>
      <x:c r="F3" s="8"/>
      <x:c r="G3" s="8"/>
      <x:c r="H3" s="8"/>
      <x:c r="I3" s="8"/>
    </x:row>
    <x:row r="5">
      <x:c r="A5" s="12" t="str">
        <x:v>Referenztabelle Verfahren und Maßnahmen</x:v>
      </x:c>
      <x:c r="B5" s="12"/>
      <x:c r="C5" s="12"/>
      <x:c r="D5" s="12"/>
      <x:c r="E5" s="12"/>
      <x:c r="F5" s="12"/>
      <x:c r="G5" s="12"/>
      <x:c r="H5" s="12"/>
      <x:c r="I5" s="12"/>
    </x:row>
    <x:row r="6" ht="42" customHeight="1">
      <x:c r="A6" s="47" t="str">
        <x:v>Nr.</x:v>
      </x:c>
      <x:c r="B6" s="47" t="str">
        <x:v>Verfahren / Maßnahme</x:v>
      </x:c>
      <x:c r="C6" s="47" t="str">
        <x:v>Erläuterung</x:v>
      </x:c>
      <x:c r="D6" s="47" t="str">
        <x:v>IEC 61508-7</x:v>
      </x:c>
      <x:c r="E6" s="47" t="str">
        <x:v>SIL 1</x:v>
      </x:c>
      <x:c r="F6" s="47" t="str">
        <x:v>SIL 2</x:v>
      </x:c>
      <x:c r="G6" s="47" t="str">
        <x:v>SIL 3</x:v>
      </x:c>
      <x:c r="H6" s="47" t="str">
        <x:v>Quelle in IEC 61508-2</x:v>
      </x:c>
      <x:c r="I6" s="47" t="str">
        <x:v>Review / Nachweis</x:v>
      </x:c>
    </x:row>
    <x:row r="7" ht="100" customHeight="1">
      <x:c r="A7" s="18" t="str">
        <x:v>B.3/1</x:v>
      </x:c>
      <x:c r="B7" s="17" t="str">
        <x:v>Funktionstest</x:v>
      </x:c>
      <x:c r="C7" s="17" t="str">
        <x:v>Der Funktionstest beaufschlagt das System mit repräsentativen Eingaben aus dem vorgesehenen Betrieb. Beobachtete Ausgaben und Zustandsfolgen werden mit der Spezifikation verglichen. Abweichungen und unvollständige Anforderungen sind nachvollziehbar zu dokumentieren und zu bearbeiten.</x:v>
      </x:c>
      <x:c r="D7" s="17" t="str">
        <x:v>B.5.1</x:v>
      </x:c>
      <x:c r="E7" s="17" t="str">
        <x:v>verbindlich / hoch</x:v>
      </x:c>
      <x:c r="F7" s="17" t="str">
        <x:v>verbindlich / hoch</x:v>
      </x:c>
      <x:c r="G7" s="17" t="str">
        <x:v>verbindlich / hoch</x:v>
      </x:c>
      <x:c r="H7" s="17" t="str">
        <x:v>IEC 61508-2, Tabelle B.3, Nr. 1</x:v>
      </x:c>
      <x:c r="I7" s="20" t="str"/>
    </x:row>
    <x:row r="8" ht="100" customHeight="1">
      <x:c r="A8" s="18" t="str">
        <x:v>B.3/2</x:v>
      </x:c>
      <x:c r="B8" s="17" t="str">
        <x:v>Projektmanagement</x:v>
      </x:c>
      <x:c r="C8" s="17" t="str">
        <x:v>Das Projektmanagement ordnet Aufgaben, Rollen, Befugnisse und organisatorische Unabhängigkeit eindeutig zu. Es legt den Sicherheitslebenszyklus, Qualitätsmaßnahmen, Prüfungen und Freigaben nachvollziehbar fest. Dadurch werden Verantwortungsdiffusion, ungeprüfte Übergaben und unkontrollierte Änderungen systematisch vermieden.</x:v>
      </x:c>
      <x:c r="D8" s="17" t="str">
        <x:v>B.1.1</x:v>
      </x:c>
      <x:c r="E8" s="17" t="str">
        <x:v>verbindlich / niedrig</x:v>
      </x:c>
      <x:c r="F8" s="17" t="str">
        <x:v>verbindlich / niedrig</x:v>
      </x:c>
      <x:c r="G8" s="17" t="str">
        <x:v>verbindlich / mittel</x:v>
      </x:c>
      <x:c r="H8" s="17" t="str">
        <x:v>IEC 61508-2, Tabelle B.3, Nr. 2</x:v>
      </x:c>
      <x:c r="I8" s="20" t="str"/>
    </x:row>
    <x:row r="9" ht="100" customHeight="1">
      <x:c r="A9" s="18" t="str">
        <x:v>B.3/3</x:v>
      </x:c>
      <x:c r="B9" s="17" t="str">
        <x:v>Dokumentation</x:v>
      </x:c>
      <x:c r="C9" s="17" t="str">
        <x:v>Die Dokumentation bildet jeden relevanten Entwicklungsschritt und seine Ergebnisse nachvollziehbar ab. Struktur, Inhalt, Versionierung und Freigabestatus müssen so beherrscht sein, dass Anforderungen und Nachweise rückverfolgbar bleiben. Kontrollierte Dokument- und Bibliotheksbestände verhindern, dass veraltete oder ungeprüfte Informationen verwendet werden.</x:v>
      </x:c>
      <x:c r="D9" s="17" t="str">
        <x:v>B.1.2</x:v>
      </x:c>
      <x:c r="E9" s="17" t="str">
        <x:v>verbindlich / niedrig</x:v>
      </x:c>
      <x:c r="F9" s="17" t="str">
        <x:v>verbindlich / niedrig</x:v>
      </x:c>
      <x:c r="G9" s="17" t="str">
        <x:v>verbindlich / mittel</x:v>
      </x:c>
      <x:c r="H9" s="17" t="str">
        <x:v>IEC 61508-2, Tabelle B.3, Nr. 3</x:v>
      </x:c>
      <x:c r="I9" s="20" t="str"/>
    </x:row>
    <x:row r="10" ht="100" customHeight="1">
      <x:c r="A10" s="18" t="str">
        <x:v>B.3/4</x:v>
      </x:c>
      <x:c r="B10" s="17" t="str">
        <x:v>Black-Box-Test</x:v>
      </x:c>
      <x:c r="C10" s="17" t="str">
        <x:v>Der Black-Box-Test prüft das äußere Verhalten ohne Nutzung interner Implementierungskenntnisse. Testdaten werden aus der Spezifikation und aus geeigneten Äquivalenzklassen abgeleitet. Damit wird unabhängig bewertet, ob Ein- und Ausgabeverhalten den festgelegten Anforderungen entsprechen.</x:v>
      </x:c>
      <x:c r="D10" s="17" t="str">
        <x:v>B.5.2</x:v>
      </x:c>
      <x:c r="E10" s="17" t="str">
        <x:v>+ / niedrig</x:v>
      </x:c>
      <x:c r="F10" s="17" t="str">
        <x:v>+ / niedrig</x:v>
      </x:c>
      <x:c r="G10" s="17" t="str">
        <x:v>+ / mittel</x:v>
      </x:c>
      <x:c r="H10" s="17" t="str">
        <x:v>IEC 61508-2, Tabelle B.3, Nr. 4</x:v>
      </x:c>
      <x:c r="I10" s="20" t="str"/>
    </x:row>
    <x:row r="11" ht="100" customHeight="1">
      <x:c r="A11" s="18" t="str">
        <x:v>B.3/5</x:v>
      </x:c>
      <x:c r="B11" s="17" t="str">
        <x:v>Felderfahrung</x:v>
      </x:c>
      <x:c r="C11" s="17" t="str">
        <x:v>Felderfahrung stützt sich auf unveränderte Elemente oder Teilsysteme mit langer und breiter Nutzung bei geringer Fehlerhäufigkeit. Es ist nachzuweisen, dass die tatsächlich benötigten Funktionen unter vergleichbaren Bedingungen ausreichend ausgeübt wurden. Änderungen von Konfiguration, Umgebung oder Betriebsprofil erfordern eine Übertragbarkeits- und Einflussanalyse.</x:v>
      </x:c>
      <x:c r="D11" s="17" t="str">
        <x:v>B.5.4</x:v>
      </x:c>
      <x:c r="E11" s="17" t="str">
        <x:v>+ / niedrig</x:v>
      </x:c>
      <x:c r="F11" s="17" t="str">
        <x:v>+ / niedrig</x:v>
      </x:c>
      <x:c r="G11" s="17" t="str">
        <x:v>+ / mittel</x:v>
      </x:c>
      <x:c r="H11" s="17" t="str">
        <x:v>IEC 61508-2, Tabelle B.3, Nr. 5</x:v>
      </x:c>
      <x:c r="I11" s="20" t="str"/>
    </x:row>
    <x:row r="12" ht="100" customHeight="1">
      <x:c r="A12" s="18" t="str">
        <x:v>B.3/6</x:v>
      </x:c>
      <x:c r="B12" s="17" t="str">
        <x:v>Statistisches Testen</x:v>
      </x:c>
      <x:c r="C12" s="17" t="str">
        <x:v>Beim statistischen Testen werden Eingaben entsprechend einem begründeten erwarteten Betriebsprofil ausgewählt. Die resultierenden Beobachtungen unterstützen Aussagen zum dynamischen Verhalten und zur Robustheit unter realistischen Nutzungsbedingungen. Stichprobe, Profil und Auswertung müssen für die beanspruchte Aussagekraft ausreichend und dokumentiert sein.</x:v>
      </x:c>
      <x:c r="D12" s="17" t="str">
        <x:v>B.5.3</x:v>
      </x:c>
      <x:c r="E12" s="17" t="str">
        <x:v>o / niedrig</x:v>
      </x:c>
      <x:c r="F12" s="17" t="str">
        <x:v>o / niedrig</x:v>
      </x:c>
      <x:c r="G12" s="17" t="str">
        <x:v>+ / mittel</x:v>
      </x:c>
      <x:c r="H12" s="17" t="str">
        <x:v>IEC 61508-2, Tabelle B.3, Nr. 6</x:v>
      </x:c>
      <x:c r="I12" s="20" t="str"/>
    </x:row>
    <x:row r="13" ht="100" customHeight="1">
      <x:c r="A13" s="18" t="str">
        <x:v>7.5/N1</x:v>
      </x:c>
      <x:c r="B13" s="17" t="str">
        <x:v>Statische Analyse</x:v>
      </x:c>
      <x:c r="C13" s="17" t="str">
        <x:v>Die statische Analyse prüft nichtausgeführte Artefakte systematisch und reproduzierbar auf definierte Eigenschaften. Vollständigkeit, Konsistenz und Eindeutigkeit werden gegen Regeln, Spezifikationen und Datenblätter bewertet. Feststellungen müssen rückverfolgbar dokumentiert und vor Freigabe geschlossen oder begründet werden.</x:v>
      </x:c>
      <x:c r="D13" s="17" t="str">
        <x:v>B.6.4</x:v>
      </x:c>
      <x:c r="E13" s="17" t="str">
        <x:v>—</x:v>
      </x:c>
      <x:c r="F13" s="17" t="str">
        <x:v>—</x:v>
      </x:c>
      <x:c r="G13" s="17" t="str">
        <x:v>—</x:v>
      </x:c>
      <x:c r="H13" s="17" t="str">
        <x:v>IEC 61508-2, 7.5.2.2, Anmerkung 1</x:v>
      </x:c>
      <x:c r="I13" s="20" t="str"/>
    </x:row>
    <x:row r="14" ht="100" customHeight="1">
      <x:c r="A14" s="18" t="str">
        <x:v>7.5/N2</x:v>
      </x:c>
      <x:c r="B14" s="17" t="str">
        <x:v>Dynamische Analyse</x:v>
      </x:c>
      <x:c r="C14" s="17" t="str">
        <x:v>Die dynamische Analyse untersucht einen ausführbaren oder prototypischen Systemstand mit repräsentativen Eingaben. Beobachtetes Zeit- und Funktionsverhalten wird mit den festgelegten Anforderungen verglichen. Fehler werden korrigiert und die betroffenen Prüfungen einschließlich Regression wiederholt.</x:v>
      </x:c>
      <x:c r="D14" s="17" t="str">
        <x:v>B.6.5</x:v>
      </x:c>
      <x:c r="E14" s="17" t="str">
        <x:v>—</x:v>
      </x:c>
      <x:c r="F14" s="17" t="str">
        <x:v>—</x:v>
      </x:c>
      <x:c r="G14" s="17" t="str">
        <x:v>—</x:v>
      </x:c>
      <x:c r="H14" s="17" t="str">
        <x:v>IEC 61508-2, 7.5.2.2, Anmerkung 1</x:v>
      </x:c>
      <x:c r="I14" s="20" t="str"/>
    </x:row>
    <x:row r="15" ht="100" customHeight="1">
      <x:c r="A15" s="18" t="str">
        <x:v>7.5/N3</x:v>
      </x:c>
      <x:c r="B15" s="17" t="str">
        <x:v>Ausfallanalyse</x:v>
      </x:c>
      <x:c r="C15" s="17" t="str">
        <x:v>Die Ausfallanalyse identifiziert mögliche Ursachen, Ausfallarten und deren Wirkungen auf Sicherheitsfunktionen. Vorwärts- und Rückwärtsanalysen werden entsprechend Systemstruktur und Fragestellung kombiniert. Annahmen, Abdeckung und sicherheitsgerichtete Reaktionen müssen nachvollziehbar bewertet werden.</x:v>
      </x:c>
      <x:c r="D15" s="17" t="str">
        <x:v>B.6.6</x:v>
      </x:c>
      <x:c r="E15" s="17" t="str">
        <x:v>—</x:v>
      </x:c>
      <x:c r="F15" s="17" t="str">
        <x:v>—</x:v>
      </x:c>
      <x:c r="G15" s="17" t="str">
        <x:v>—</x:v>
      </x:c>
      <x:c r="H15" s="17" t="str">
        <x:v>IEC 61508-2, 7.5.2.2, Anmerkung 1</x:v>
      </x:c>
      <x:c r="I15" s="20" t="str"/>
    </x:row>
    <x:row r="16" ht="100" customHeight="1">
      <x:c r="A16" s="18" t="str">
        <x:v>7.5/N4</x:v>
      </x:c>
      <x:c r="B16" s="17" t="str">
        <x:v>Strukturierter Entwurf</x:v>
      </x:c>
      <x:c r="C16" s="17" t="str">
        <x:v>Der strukturierte Entwurf zerlegt Anforderungen hierarchisch in überschaubare Teilfunktionen. Klare Module, einfache Schnittstellen und explizite Datenbeziehungen reduzieren Komplexität und Kopplung. Die Struktur erleichtert eine systematische Verifikation jeder Ebene gegen ihre Eingangsanforderungen.</x:v>
      </x:c>
      <x:c r="D16" s="17" t="str">
        <x:v>B.3.2</x:v>
      </x:c>
      <x:c r="E16" s="17" t="str">
        <x:v>—</x:v>
      </x:c>
      <x:c r="F16" s="17" t="str">
        <x:v>—</x:v>
      </x:c>
      <x:c r="G16" s="17" t="str">
        <x:v>—</x:v>
      </x:c>
      <x:c r="H16" s="17" t="str">
        <x:v>IEC 61508-2, 7.5.2.2, Anmerkung 1</x:v>
      </x:c>
      <x:c r="I16" s="20" t="str"/>
    </x:row>
    <x:row r="17" ht="100" customHeight="1">
      <x:c r="A17" s="18" t="str">
        <x:v>7.5/N5</x:v>
      </x:c>
      <x:c r="B17" s="17" t="str">
        <x:v>Semiformale Methoden</x:v>
      </x:c>
      <x:c r="C17" s="17" t="str">
        <x:v>Semiformale Methoden verwenden festgelegte Notationen, Diagramme oder Zustandsmodelle für eine weitgehend eindeutige Beschreibung. Sie erleichtern das Erkennen von Auslassungen, widersprüchlichen Schnittstellen und unvollständigen Abläufen. Die Modelle müssen konsistent zur textlichen Spezifikation gehalten und in Reviews einbezogen werden.</x:v>
      </x:c>
      <x:c r="D17" s="17" t="str">
        <x:v>B.2.3</x:v>
      </x:c>
      <x:c r="E17" s="17" t="str">
        <x:v>—</x:v>
      </x:c>
      <x:c r="F17" s="17" t="str">
        <x:v>—</x:v>
      </x:c>
      <x:c r="G17" s="17" t="str">
        <x:v>—</x:v>
      </x:c>
      <x:c r="H17" s="17" t="str">
        <x:v>IEC 61508-2, 7.5.2.2, Anmerkung 1</x:v>
      </x:c>
      <x:c r="I17" s="20" t="str"/>
    </x:row>
    <x:row r="18" ht="100" customHeight="1">
      <x:c r="A18" s="18" t="str">
        <x:v>7.5/N6</x:v>
      </x:c>
      <x:c r="B18" s="17" t="str">
        <x:v>Formale Methoden</x:v>
      </x:c>
      <x:c r="C18" s="17" t="str">
        <x:v>Formale Methoden beschreiben Anforderungen oder Entwürfe durch mathematisch definierte Modelle. Sie unterstützen Eindeutigkeit, Konsistenz und Vollständigkeit und ermöglichen strengere Nachweise als ausschließlich sprachliche Spezifikationen. Die Methode ist passend zur Systemeigenschaft, Entwicklungsphase und Kompetenz der Anwender auszuwählen.</x:v>
      </x:c>
      <x:c r="D18" s="17" t="str">
        <x:v>B.2.2</x:v>
      </x:c>
      <x:c r="E18" s="17" t="str">
        <x:v>—</x:v>
      </x:c>
      <x:c r="F18" s="17" t="str">
        <x:v>—</x:v>
      </x:c>
      <x:c r="G18" s="17" t="str">
        <x:v>—</x:v>
      </x:c>
      <x:c r="H18" s="17" t="str">
        <x:v>IEC 61508-2, 7.5.2.2, Anmerkung 2</x:v>
      </x:c>
      <x:c r="I18" s="20" t="str"/>
    </x:row>
    <x:row r="19" ht="100" customHeight="1">
      <x:c r="A19" s="18" t="str">
        <x:v>7.5/N7</x:v>
      </x:c>
      <x:c r="B19" s="17" t="str">
        <x:v>Formaler Beweis</x:v>
      </x:c>
      <x:c r="C19" s="17" t="str">
        <x:v>Der formale Beweis zeigt mathematisch, dass ein Modell oder eine Implementierung spezifizierte Eigenschaften für alle zulässigen Eingaben erfüllt. Damit wird ein vollständigerer Zustandsraum betrachtet als durch eine endliche Testmenge. Modelltreue, Beweisannahmen und Werkzeugvertrauen müssen unabhängig bewertet werden.</x:v>
      </x:c>
      <x:c r="D19" s="17" t="str">
        <x:v>C.5.12</x:v>
      </x:c>
      <x:c r="E19" s="17" t="str">
        <x:v>—</x:v>
      </x:c>
      <x:c r="F19" s="17" t="str">
        <x:v>—</x:v>
      </x:c>
      <x:c r="G19" s="17" t="str">
        <x:v>—</x:v>
      </x:c>
      <x:c r="H19" s="17" t="str">
        <x:v>IEC 61508-2, 7.5.2.2, Anmerkung 2</x:v>
      </x:c>
      <x:c r="I19" s="20" t="str"/>
    </x:row>
    <x:row r="20" ht="100" customHeight="1">
      <x:c r="A20" s="18" t="str">
        <x:v>7.5/N8</x:v>
      </x:c>
      <x:c r="B20" s="17" t="str">
        <x:v>Assertion-Programmierung</x:v>
      </x:c>
      <x:c r="C20" s="17" t="str">
        <x:v>Assertion-Programmierung prüft vor einer Aktion definierte Vorbedingungen und danach festgelegte Nachbedingungen. Abweichungen werden unmittelbar erkannt und gemeldet oder sicher behandelt. Assertions müssen sicherheitsrelevante Zustände abdecken und dürfen die Echtzeit- oder Fehlerreaktion nicht unzulässig beeinflussen.</x:v>
      </x:c>
      <x:c r="D20" s="17" t="str">
        <x:v>C.3.3</x:v>
      </x:c>
      <x:c r="E20" s="17" t="str">
        <x:v>—</x:v>
      </x:c>
      <x:c r="F20" s="17" t="str">
        <x:v>—</x:v>
      </x:c>
      <x:c r="G20" s="17" t="str">
        <x:v>—</x:v>
      </x:c>
      <x:c r="H20" s="17" t="str">
        <x:v>IEC 61508-2, 7.5.2.2, Anmerkung 2</x:v>
      </x:c>
      <x:c r="I20" s="20" t="str"/>
    </x:row>
    <x:row r="22" ht="52" customHeight="1">
      <x:c r="A22" s="56" t="str">
        <x:v>Hinweis: ++ = dringend empfohlen, + = empfohlen, o = keine Empfehlung für oder gegen, -- = ausdrücklich nicht empfohlen. Verbindliche Einträge und Gruppenregeln der jeweiligen Tabelle sind zusätzlich zu beachten. SIL 4 ist entsprechend der vereinbarten Prüftiefe nicht dargestellt.</x:v>
      </x:c>
      <x:c r="B22" s="56"/>
      <x:c r="C22" s="56"/>
      <x:c r="D22" s="56"/>
      <x:c r="E22" s="56"/>
      <x:c r="F22" s="56"/>
      <x:c r="G22" s="56"/>
      <x:c r="H22" s="56"/>
      <x:c r="I22" s="56"/>
    </x:row>
  </x:sheetData>
  <x:mergeCells>
    <x:mergeCell ref="A1:I2"/>
    <x:mergeCell ref="A3:I3"/>
    <x:mergeCell ref="A5:I5"/>
    <x:mergeCell ref="A22:I22"/>
  </x:mergeCells>
  <x:pageMargins left="0.7" right="0.7" top="0.75" bottom="0.75" header="0.3" footer="0.3"/>
</x:worksheet>
</file>