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hecklisten\Teil 2 - Hardware\outputs\01a0448a-9a8c-7201-b882-42f8b7f56ac1\"/>
    </mc:Choice>
  </mc:AlternateContent>
  <xr:revisionPtr revIDLastSave="0" documentId="8_{9C8AE814-62B4-41B8-8DA6-CE766BFC58C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Übersicht" sheetId="1" r:id="rId1"/>
    <sheet name="Review 7.2" sheetId="2" r:id="rId2"/>
    <sheet name="Eingabe- &amp; Ausgabe" sheetId="3" r:id="rId3"/>
    <sheet name="Maßnahmen" sheetId="4" r:id="rId4"/>
    <sheet name="Legende &amp; Hinweise" sheetId="6" r:id="rId5"/>
    <sheet name="Unterschriften" sheetId="7" r:id="rId6"/>
    <sheet name="Referenzen Teil 7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I5" i="3"/>
  <c r="G5" i="3"/>
  <c r="E5" i="3"/>
  <c r="B5" i="3"/>
  <c r="G20" i="1"/>
  <c r="E20" i="1"/>
  <c r="C20" i="1"/>
  <c r="A20" i="1"/>
  <c r="H20" i="1" s="1"/>
</calcChain>
</file>

<file path=xl/sharedStrings.xml><?xml version="1.0" encoding="utf-8"?>
<sst xmlns="http://schemas.openxmlformats.org/spreadsheetml/2006/main" count="568" uniqueCount="312">
  <si>
    <t>Reviewprotokoll IEC 61508-3 – Kapitel 7.3 Validierungsplan für die Softwareaspekte der Systemsicherheit</t>
  </si>
  <si>
    <t>Reviewdaten</t>
  </si>
  <si>
    <t>Projekt / Teilprojekt</t>
  </si>
  <si>
    <t>Review-Gegenstand</t>
  </si>
  <si>
    <t>Dokument / Referenz</t>
  </si>
  <si>
    <t>Index</t>
  </si>
  <si>
    <t>SIL</t>
  </si>
  <si>
    <t>Checkliste</t>
  </si>
  <si>
    <t>IEC 61508-3: Kapitel 7.3 Validierungsplan für die Softwareaspekte der Systemsicherheit</t>
  </si>
  <si>
    <t>Ort</t>
  </si>
  <si>
    <t>Datum / Zeitraum</t>
  </si>
  <si>
    <t>Reviewleitung</t>
  </si>
  <si>
    <t>Protokollführung</t>
  </si>
  <si>
    <t>Teilnehmer</t>
  </si>
  <si>
    <t>Teilnehmer 1</t>
  </si>
  <si>
    <t>Teilnehmer 2</t>
  </si>
  <si>
    <t>Teilnehmer 3</t>
  </si>
  <si>
    <t>Teilnehmer 4</t>
  </si>
  <si>
    <t>Fortschritt und Review-Ergebnis</t>
  </si>
  <si>
    <t>Prüfpunkte</t>
  </si>
  <si>
    <t>OK</t>
  </si>
  <si>
    <t>Nicht OK</t>
  </si>
  <si>
    <t>Nicht geprüft</t>
  </si>
  <si>
    <t>Abschluss</t>
  </si>
  <si>
    <t>Gesamtergebnis</t>
  </si>
  <si>
    <t>Ergebnis / Begründung</t>
  </si>
  <si>
    <t>Zusammenfassung</t>
  </si>
  <si>
    <t>Das Dokument wurde auf konzeptionelle Fehler, inhaltliche Fehler und auf Konformität zu den Anforderungen der IEC 61508 geprüft.</t>
  </si>
  <si>
    <t>Checkliste – IEC 61508-3, Kapitel 7.3</t>
  </si>
  <si>
    <t>Eingabe- und Ausgabedokumente – Kapitel 7.3</t>
  </si>
  <si>
    <t>Normnahes Dokumentenregister mit Bezug zu Prüfpunkt und Normkapitel. Gelbe Zellen werden projektspezifisch ausgefüllt.</t>
  </si>
  <si>
    <t>Review-Ergebnisse und durchzuführende Maßnahmen</t>
  </si>
  <si>
    <t>A = Aufgabe · I = Information · B = Beschluss. Der Bezug zum Prüfpunkt ermöglicht die direkte Rückverfolgung.</t>
  </si>
  <si>
    <t>ID</t>
  </si>
  <si>
    <t>Typ</t>
  </si>
  <si>
    <t>Review-Ergebnis / Maßnahme</t>
  </si>
  <si>
    <t>Bezug Prüfpunkt</t>
  </si>
  <si>
    <t>Verantwortlich</t>
  </si>
  <si>
    <t>Fällig am</t>
  </si>
  <si>
    <t>Status</t>
  </si>
  <si>
    <t>M-01</t>
  </si>
  <si>
    <t>Offen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</si>
  <si>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</si>
  <si>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</si>
  <si>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</si>
  <si>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</si>
  <si>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</si>
  <si>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</si>
  <si>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</si>
  <si>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</si>
  <si>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</si>
  <si>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</si>
  <si>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</si>
  <si>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</si>
  <si>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</si>
  <si>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</si>
  <si>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</si>
  <si>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</si>
  <si>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</si>
  <si>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</si>
  <si>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</si>
  <si>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Legende und Anwendungshinweise</t>
  </si>
  <si>
    <t>Empfehlungsgrade nach IEC 61508</t>
  </si>
  <si>
    <t>Kennzeichen</t>
  </si>
  <si>
    <t>Bedeutung</t>
  </si>
  <si>
    <t>Anwendung im Review</t>
  </si>
  <si>
    <t>Geltungsbereich</t>
  </si>
  <si>
    <t>++</t>
  </si>
  <si>
    <t>Für diesen SIL besonders empfohlen</t>
  </si>
  <si>
    <t>Bevorzugt anzuwenden; Nichtanwendung nachvollziehbar begründen.</t>
  </si>
  <si>
    <t>+</t>
  </si>
  <si>
    <t>Für diesen SIL empfohlen</t>
  </si>
  <si>
    <t>Anwendung einplanen oder eine geeignete Alternative begründen.</t>
  </si>
  <si>
    <t>O</t>
  </si>
  <si>
    <t>Keine Empfehlung für oder gegen die Anwendung</t>
  </si>
  <si>
    <t>Einsatz projektspezifisch bewerten und dokumentieren.</t>
  </si>
  <si>
    <t>--</t>
  </si>
  <si>
    <t>Für diesen SIL nicht empfohlen</t>
  </si>
  <si>
    <t>Nur mit belastbarer Begründung und geeigneten zusätzlichen Maßnahmen einsetzen.</t>
  </si>
  <si>
    <t>Arbeitsweise</t>
  </si>
  <si>
    <t>Schritt</t>
  </si>
  <si>
    <t>Vorgehen</t>
  </si>
  <si>
    <t>Dokumentation</t>
  </si>
  <si>
    <t>Hinweis</t>
  </si>
  <si>
    <t>1</t>
  </si>
  <si>
    <t>Reviewdaten auf dem Blatt „Übersicht“ ausfüllen.</t>
  </si>
  <si>
    <t>Projekt, Dokument, SIL, Teilnehmer und Termin erfassen.</t>
  </si>
  <si>
    <t>Gelbe Zellen sind Eingabefelder.</t>
  </si>
  <si>
    <t>7</t>
  </si>
  <si>
    <t>Teilnehmer auf „Unterschriften“ dokumentieren.</t>
  </si>
  <si>
    <t>Name, Funktion, Datum und Bestätigung eintragen.</t>
  </si>
  <si>
    <t>Kann digital oder nach Ausdruck verwendet werden.</t>
  </si>
  <si>
    <t>Quelle: IEC61508-3_Kap_7.3_Reviewprotokoll_Endfassung_2026-08-05.docx</t>
  </si>
  <si>
    <t>Anhang Formblatt Unterschriften</t>
  </si>
  <si>
    <t>Name, Vorname, Abteilung, Funktion</t>
  </si>
  <si>
    <t>Datum</t>
  </si>
  <si>
    <t>Unterschrift / Bestätigung</t>
  </si>
  <si>
    <t>Reviewprotokoll IEC 61508-2 – Kapitel 7.2
Spezifikation der Anforderungen an den Entwurf des E/E/PE-Systems</t>
  </si>
  <si>
    <t>Strukturierte Arbeitsmappe für SIL 1 bis SIL 3 · Eingabefelder sind gelb markiert</t>
  </si>
  <si>
    <t>IEC 61508-2: Kapitel 7.2 Spezifikation der Anforderungen an den Entwurf des E/E/PE-Systems</t>
  </si>
  <si>
    <t>Das Dokument wird auf konzeptionelle und inhaltliche Fehler sowie auf Konformität mit IEC 61508-2, Kapitel 7.2 geprüft.</t>
  </si>
  <si>
    <t>Checkliste – IEC 61508-2, Kapitel 7.2</t>
  </si>
  <si>
    <t>Prüfergebnis: konkrete Bewertung des Prüfpunkts. Kommentar / Nachweis: Begründung, Referenz auf Nachweise oder offene Punkte.</t>
  </si>
  <si>
    <t>Kapitel 7.2</t>
  </si>
  <si>
    <t>Spezifikation der Anforderungen an den Entwurf des E/E/PE-Systems</t>
  </si>
  <si>
    <t>9 Prüfpunkte</t>
  </si>
  <si>
    <t>Dokumentenbezug</t>
  </si>
  <si>
    <t>Status / OK</t>
  </si>
  <si>
    <t>Nr.</t>
  </si>
  <si>
    <t>Normkapitel</t>
  </si>
  <si>
    <t>Prüffrage / Prüfkriterium</t>
  </si>
  <si>
    <t>Prüfergebnis</t>
  </si>
  <si>
    <t>Kommentar / Nachweis</t>
  </si>
  <si>
    <t>E/A-Dokumente (IDs)</t>
  </si>
  <si>
    <t>Z1</t>
  </si>
  <si>
    <t>7.2.1</t>
  </si>
  <si>
    <t>Sind für jedes sicherheitsbezogene E/E/PE-System die Entwurfsanforderungen in Form von Teilsystemen und Elementen festgelegt?</t>
  </si>
  <si>
    <t>D01, D02</t>
  </si>
  <si>
    <t>7.2.2.1</t>
  </si>
  <si>
    <t>Wurde die Spezifikation der Anforderungen an den Entwurf nachvollziehbar aus den Anforderungen an die Sicherheit des E/E/PE-Systems abgeleitet (siehe IEC 61508-1, 7.10)?</t>
  </si>
  <si>
    <t>2</t>
  </si>
  <si>
    <t>7.2.2.2 a) bis c)</t>
  </si>
  <si>
    <t>Ist die Spezifikation:
a) klar, genau, unzweideutig, nachprüfbar, testbar, pflegbar und ausführbar;
b) so geschrieben, dass sie die Personen unterstützt, die sie während des Sicherheitslebenszyklus verwenden; und
c) auf die Spezifikation der Anforderungen an die Sicherheit des E/E/PE-Systems zurückführbar?</t>
  </si>
  <si>
    <t>D02, D03</t>
  </si>
  <si>
    <t>3</t>
  </si>
  <si>
    <t>7.2.3.1</t>
  </si>
  <si>
    <t>Enthält die Spezifikation sowohl Anforderungen an den Entwurf in Bezug auf die Sicherheitsfunktionen (siehe 7.2.3.2) als auch Anforderungen in Bezug auf die Sicherheitsintegrität (siehe 7.2.3.3)?</t>
  </si>
  <si>
    <t>D02</t>
  </si>
  <si>
    <t>4</t>
  </si>
  <si>
    <t>7.2.3.2 a) bis j)</t>
  </si>
  <si>
    <t>Enthält die Spezifikation für jede Sicherheitsfunktion alle notwendigen Hardware- und Softwareangaben:
a) Anforderungen an Teilsysteme sowie Hardware- und Softwareelemente;
b) Anforderungen an deren Integration;
c) Durchsatz zur Erfüllung der Reaktionszeitanforderungen;
d) Genauigkeit und Widerstandsfähigkeit von Messungen und Steuerungen;
e) System- und Bedienerschnittstellen;
f) Schnittstellen zu anderen Systemen;
g) Verhalten einschließlich Ausfallverhalten und erforderlicher Reaktion;
h) Bedeutung und Einschränkungen der Hardware-/Software-Wechselwirkungen;
i) Grenzbedingungen und Einschränkungen;
j) besondere Anforderungen an Anlauf und Wiederanlauf?
Weitere Referenz: IEC 61508-1, 7.10.2.6.</t>
  </si>
  <si>
    <t>D02, D04–D10</t>
  </si>
  <si>
    <t>5</t>
  </si>
  <si>
    <t>7.2.3.3 a) bis g)</t>
  </si>
  <si>
    <t>Enthält die Spezifikation alle für SIL und Ausfallgrenzwert erforderlichen Entwurfsangaben:
a) Architektur jedes Teilsystems zur Erfüllung von 7.4.4;
b) relevante Zuverlässigkeitsparameter einschließlich Wiederholungsprüfungen;
c) Maßnahmen bei erkannten gefahrbringenden Ausfällen;
d) Anforderungen, Einschränkungen, Funktionen und Betriebsmittel für Wiederholungsprüfungen;
e) Eignung für die festgelegten Umgebungsbedingungen über den Sicherheitslebenszyklus;
f) erforderliche elektromagnetische Störfestigkeit nach IEC/TS 61000-1-2:2008;
g) notwendige Qualitätssicherungs- und Qualitätskontrollmaßnahmen nach IEC 61508-1, 6.2.5?
Weitere Referenz: IEC 61508-1, 7.10.2.7.</t>
  </si>
  <si>
    <t>D02, D11–D17</t>
  </si>
  <si>
    <t>6</t>
  </si>
  <si>
    <t>7.2.3.4</t>
  </si>
  <si>
    <t>Wird die Spezifikation entsprechend dem Fortschritt des Entwurfs im Detail vervollständigt und nach Modifikationen soweit notwendig aktualisiert?</t>
  </si>
  <si>
    <t>D02, D18</t>
  </si>
  <si>
    <t>7.2.3.5</t>
  </si>
  <si>
    <t>Wurde zur Vermeidung von Irrtümern bei der Entwicklung der Spezifikation eine angemessene Gruppe von Verfahren und Maßnahmen nach IEC 61508-2, Tabelle B.1 verwendet und nachvollziehbar begründet?</t>
  </si>
  <si>
    <t>D02, D19</t>
  </si>
  <si>
    <t>8</t>
  </si>
  <si>
    <t>7.2.3.6</t>
  </si>
  <si>
    <t>Wurden die durch die Entwurfsanforderungen auferlegten Auswirkungen auf die Architektur berücksichtigt und dokumentiert?</t>
  </si>
  <si>
    <t>D02, D20</t>
  </si>
  <si>
    <t>Eingabe- und Ausgabedokumente – Kapitel 7.2</t>
  </si>
  <si>
    <t>Dokumente</t>
  </si>
  <si>
    <t>Eingaben</t>
  </si>
  <si>
    <t>Ausgaben</t>
  </si>
  <si>
    <t>Geprüft / freigegeben</t>
  </si>
  <si>
    <t>Nicht vorgelegt</t>
  </si>
  <si>
    <t>Art</t>
  </si>
  <si>
    <t>Normbegriff / Dokument</t>
  </si>
  <si>
    <t>Funktion / erwarteter Inhalt</t>
  </si>
  <si>
    <t>Normreferenz</t>
  </si>
  <si>
    <t>Dokumentkennung / Referenz</t>
  </si>
  <si>
    <t>Version / Index</t>
  </si>
  <si>
    <t>Ablageort / Link</t>
  </si>
  <si>
    <t>D01</t>
  </si>
  <si>
    <t>Eingabe</t>
  </si>
  <si>
    <t>Spezifikation der Anforderungen an die Sicherheit des E/E/PE-Systems</t>
  </si>
  <si>
    <t>Ausgangspunkt für die Ableitung der Entwurfsanforderungen.</t>
  </si>
  <si>
    <t>Z1, 1</t>
  </si>
  <si>
    <t>IEC 61508-1, 7.10</t>
  </si>
  <si>
    <t>Ausgabe</t>
  </si>
  <si>
    <t>Zentrale Spezifikation der funktionalen und integritätsbezogenen Entwurfsanforderungen.</t>
  </si>
  <si>
    <t>Z1, 1–8</t>
  </si>
  <si>
    <t>IEC 61508-2, 7.2</t>
  </si>
  <si>
    <t>D03</t>
  </si>
  <si>
    <t>Rückverfolgbarkeitsmatrix</t>
  </si>
  <si>
    <t>Ordnet jede Entwurfsanforderung der zugrunde liegenden Sicherheitsanforderung zu.</t>
  </si>
  <si>
    <t>IEC 61508-2, 7.2.2.2 c)</t>
  </si>
  <si>
    <t>D04</t>
  </si>
  <si>
    <t>Teilsystem- und Elementzuordnung</t>
  </si>
  <si>
    <t>Beschreibt Teilsysteme, Hardware- und Softwareelemente sowie ihre Integration.</t>
  </si>
  <si>
    <t>IEC 61508-2, 7.2.3.2 a) und b)</t>
  </si>
  <si>
    <t>D05</t>
  </si>
  <si>
    <t>Reaktionszeit- und Durchsatzanforderungen</t>
  </si>
  <si>
    <t>Legt erforderliche zeitliche Leistungsfähigkeit und Durchsatz fest.</t>
  </si>
  <si>
    <t>IEC 61508-2, 7.2.3.2 c)</t>
  </si>
  <si>
    <t>D06</t>
  </si>
  <si>
    <t>Genauigkeits- und Robustheitsanforderungen</t>
  </si>
  <si>
    <t>Legt Genauigkeit und Widerstandsfähigkeit von Messungen und Steuerungen fest.</t>
  </si>
  <si>
    <t>IEC 61508-2, 7.2.3.2 d)</t>
  </si>
  <si>
    <t>D07</t>
  </si>
  <si>
    <t>Schnittstellenspezifikation</t>
  </si>
  <si>
    <t>Beschreibt System-, Bediener- und externe Schnittstellen eindeutig.</t>
  </si>
  <si>
    <t>IEC 61508-2, 7.2.3.2 e) und f)</t>
  </si>
  <si>
    <t>D08</t>
  </si>
  <si>
    <t>Systemverhalten und Ausfallreaktionen</t>
  </si>
  <si>
    <t>Beschreibt alle Betriebs- und Ausfallverhaltensweisen einschließlich Alarm und Abschaltung.</t>
  </si>
  <si>
    <t>IEC 61508-2, 7.2.3.2 g)</t>
  </si>
  <si>
    <t>D09</t>
  </si>
  <si>
    <t>Hardware-/Software-Wechselwirkungen</t>
  </si>
  <si>
    <t>Dokumentiert Wechselwirkungen und notwendige Einschränkungen zwischen Hardware und Software.</t>
  </si>
  <si>
    <t>IEC 61508-2, 7.2.3.2 h)</t>
  </si>
  <si>
    <t>D10</t>
  </si>
  <si>
    <t>Grenzbedingungen sowie Anlauf und Wiederanlauf</t>
  </si>
  <si>
    <t>Legt Einschränkungen, zeitliche Randbedingungen sowie Anlauf- und Wiederanlaufverfahren fest.</t>
  </si>
  <si>
    <t>IEC 61508-2, 7.2.3.2 i) und j)</t>
  </si>
  <si>
    <t>D11</t>
  </si>
  <si>
    <t>Teilsystemarchitektur und SIL-Nachweis</t>
  </si>
  <si>
    <t>Belegt die Architektur zur Erfüllung der Einschränkungen der Hardware-Sicherheitsintegrität.</t>
  </si>
  <si>
    <t>IEC 61508-2, 7.2.3.3 a) und 7.4.4</t>
  </si>
  <si>
    <t>D12</t>
  </si>
  <si>
    <t>Zuverlässigkeitsmodell und Wiederholungsprüfintervalle</t>
  </si>
  <si>
    <t>Dokumentiert Modellierungsparameter und erforderliche Prüfintervalle.</t>
  </si>
  <si>
    <t>IEC 61508-2, 7.2.3.3 b); IEC 61508-1, 7.10.2.1</t>
  </si>
  <si>
    <t>D13</t>
  </si>
  <si>
    <t>Reaktion auf erkannte gefahrbringende Ausfälle</t>
  </si>
  <si>
    <t>Legt die zu treffenden Maßnahmen bei diagnostisch erkannten gefahrbringenden Ausfällen fest.</t>
  </si>
  <si>
    <t>IEC 61508-2, 7.2.3.3 c)</t>
  </si>
  <si>
    <t>D14</t>
  </si>
  <si>
    <t>Wiederholungsprüfungskonzept</t>
  </si>
  <si>
    <t>Legt Anforderungen, Einschränkungen, Funktionen und Betriebsmittel für Wiederholungsprüfungen fest.</t>
  </si>
  <si>
    <t>IEC 61508-2, 7.2.3.3 d)</t>
  </si>
  <si>
    <t>D15</t>
  </si>
  <si>
    <t>Umgebungsanforderungen</t>
  </si>
  <si>
    <t>Beschreibt die erforderliche Eignung über Herstellung, Lagerung, Transport, Prüfung, Installation, Betrieb und Instandhaltung.</t>
  </si>
  <si>
    <t>IEC 61508-2, 7.2.3.3 e)</t>
  </si>
  <si>
    <t>D16</t>
  </si>
  <si>
    <t>Spezifikation der elektromagnetischen Störfestigkeit</t>
  </si>
  <si>
    <t>Legt die erforderliche elektromagnetische Störfestigkeit fest.</t>
  </si>
  <si>
    <t>IEC 61508-2, 7.2.3.3 f); IEC/TS 61000-1-2:2008</t>
  </si>
  <si>
    <t>D17</t>
  </si>
  <si>
    <t>Qualitätssicherungs- und Qualitätskontrollplan</t>
  </si>
  <si>
    <t>Legt die für das Sicherheitsmanagement notwendigen QS- und QK-Maßnahmen fest.</t>
  </si>
  <si>
    <t>IEC 61508-2, 7.2.3.3 g); IEC 61508-1, 6.2.5</t>
  </si>
  <si>
    <t>D18</t>
  </si>
  <si>
    <t>Änderungs- und Revisionsnachweis</t>
  </si>
  <si>
    <t>Dokumentiert Vervollständigungen und Aktualisierungen der Entwurfsspezifikation.</t>
  </si>
  <si>
    <t>IEC 61508-2, 7.2.3.4</t>
  </si>
  <si>
    <t>D19</t>
  </si>
  <si>
    <t>Auswahl und Begründung der Verfahren und Maßnahmen</t>
  </si>
  <si>
    <t>Belegt die angemessene Auswahl und Anwendung der Verfahren aus Tabelle B.1.</t>
  </si>
  <si>
    <t>IEC 61508-2, 7.2.3.5 und Tabelle B.1</t>
  </si>
  <si>
    <t>D20</t>
  </si>
  <si>
    <t>Analyse der Auswirkungen auf die Architektur</t>
  </si>
  <si>
    <t>Dokumentiert die durch die Entwurfsanforderungen verursachten Architekturauswirkungen.</t>
  </si>
  <si>
    <t>IEC 61508-2, 7.2.3.6</t>
  </si>
  <si>
    <t>SIL 1 bis SIL 3 gemäß IEC 61508-2, Tabelle B.1</t>
  </si>
  <si>
    <t>2 Dokumente registrieren.</t>
  </si>
  <si>
    <t>Dokumentkennung, Version, Status, Verantwortlichen und Ablageort eintragen.</t>
  </si>
  <si>
    <t>Die IDs D01 bis D20 sind für IEC 61508-2, Kapitel 7.2 vorbereitet.</t>
  </si>
  <si>
    <t>3 Prüfpunkte bewerten.</t>
  </si>
  <si>
    <t>Auf „Review 7.2“ das Prüfergebnis formulieren und die Dokument-IDs prüfen.</t>
  </si>
  <si>
    <t>Status / OK über das Auswahlfeld setzen.</t>
  </si>
  <si>
    <t>4 Maßnahmen erfassen.</t>
  </si>
  <si>
    <t>Abweichungen oder Beschlüsse mit Prüfpunkt, Verantwortlichem, Fälligkeit und Status eintragen.</t>
  </si>
  <si>
    <t>IDs M-01 bis M-20 sind vorbereitet.</t>
  </si>
  <si>
    <t>5 Teil-7-Verfahren berücksichtigen.</t>
  </si>
  <si>
    <t>„Referenzen Teil 7“ mit Erläuterungen und exakten Normreferenzen als Prüfhilfe verwenden.</t>
  </si>
  <si>
    <t>SIL 4 ist nicht Bestandteil dieser Arbeitsmappe.</t>
  </si>
  <si>
    <t>6 Gesamtergebnis festlegen.</t>
  </si>
  <si>
    <t>Auf „Übersicht“ Ergebnis, Begründung und Zusammenfassung eintragen.</t>
  </si>
  <si>
    <t>Fortschrittskennzahlen werden automatisch berechnet.</t>
  </si>
  <si>
    <t>Quellen: IEC 61508-2, Kapitel 7.2 und Tabelle B.1; IEC 61508-7, Anhang B.</t>
  </si>
  <si>
    <t>Referenzen zu IEC 61508-7 – Verfahren und Maßnahmen für Kapitel 7.2</t>
  </si>
  <si>
    <t>Exakte Verweise aus IEC 61508-2, Tabelle B.1; verständliche Erläuterungen nach IEC 61508-7, Anhang B.</t>
  </si>
  <si>
    <t>Referenzen für IEC 61508-2, 7.2.3.5</t>
  </si>
  <si>
    <t>Verfahren / Maßnahme</t>
  </si>
  <si>
    <t>Exakter Normverweis</t>
  </si>
  <si>
    <t>SIL 1</t>
  </si>
  <si>
    <t>SIL 2</t>
  </si>
  <si>
    <t>SIL 3</t>
  </si>
  <si>
    <t>Verständliche Erläuterung</t>
  </si>
  <si>
    <t>Anwendung / Nachweis</t>
  </si>
  <si>
    <t>R1</t>
  </si>
  <si>
    <t>Projektmanagement</t>
  </si>
  <si>
    <t>IEC 61508-7, B.1.1</t>
  </si>
  <si>
    <t>verbindlich / niedrig</t>
  </si>
  <si>
    <t>verbindlich / mittel</t>
  </si>
  <si>
    <t>Organisation, Aufgaben, Verantwortlichkeiten, unabhängige Qualitätssicherung, Projektphasen, interne Prüfungen, Konfigurationsmanagement und Änderungen geregelt behandeln.</t>
  </si>
  <si>
    <t>R2</t>
  </si>
  <si>
    <t>IEC 61508-7, B.1.2</t>
  </si>
  <si>
    <t>Entwicklungsschritte, Sicherheitsnachweise, Dokumentstrukturen, Identifikation, Versionen und Revisionen eindeutig und nachvollziehbar dokumentieren.</t>
  </si>
  <si>
    <t>R3</t>
  </si>
  <si>
    <t>Trennung der Sicherheitsfunktionen eines E/E/PE-Systems von Nichtsicherheitsfunktionen</t>
  </si>
  <si>
    <t>IEC 61508-7, B.1.3</t>
  </si>
  <si>
    <t>++ / niedrig</t>
  </si>
  <si>
    <t>++ / mittel</t>
  </si>
  <si>
    <t>Festlegen, ob sicherheitsbezogene und nicht sicherheitsbezogene Funktionen getrennt werden können; verbleibende Schnittstellen eindeutig spezifizieren.</t>
  </si>
  <si>
    <t>R4</t>
  </si>
  <si>
    <t>Strukturierte Spezifikation</t>
  </si>
  <si>
    <t>IEC 61508-7, B.2.1</t>
  </si>
  <si>
    <t>Gesamtanforderungen hierarchisch in kleine, eindeutige Teilanforderungen mit möglichst einfachen Beziehungen und klaren Schnittstellen zerlegen.</t>
  </si>
  <si>
    <t>R5</t>
  </si>
  <si>
    <t>Inspektion der Spezifikation</t>
  </si>
  <si>
    <t>IEC 61508-7, B.2.6</t>
  </si>
  <si>
    <t>o / niedrig</t>
  </si>
  <si>
    <t>Eine möglichst unabhängige Gruppe prüft die Spezifikation auf Vollständigkeit, Widerspruchsfreiheit und eindeutige Rekonstruierbarkeit der Systemfunktion.</t>
  </si>
  <si>
    <t>R6</t>
  </si>
  <si>
    <t>Semiformale Methoden</t>
  </si>
  <si>
    <t>IEC 61508-7, B.2.3; siehe auch IEC 61508-3, Tabelle B.7</t>
  </si>
  <si>
    <t>+ / niedrig</t>
  </si>
  <si>
    <t>Modelle und Diagramme zur eindeutigen Beschreibung verwenden, damit Auslassungen, Widersprüche und fehlerhaftes Verhalten besser erkennbar werden.</t>
  </si>
  <si>
    <t>R7</t>
  </si>
  <si>
    <t>Checklisten</t>
  </si>
  <si>
    <t>IEC 61508-7, B.2.5</t>
  </si>
  <si>
    <t>+ / mittel</t>
  </si>
  <si>
    <t>Relevante System- und Lebenszyklusaspekte systematisch prüfen; nicht zutreffende, ergänzte oder entfernte Fragen begründen und dokumentieren.</t>
  </si>
  <si>
    <t>R8</t>
  </si>
  <si>
    <t>Rechnerunterstützte Spezifikationswerkzeuge</t>
  </si>
  <si>
    <t>IEC 61508-7, B.2.4</t>
  </si>
  <si>
    <t>Werkzeuge einsetzen, die Spezifikationen strukturiert verwalten und Prüfungen auf Vollständigkeit, Konsistenz oder Zweideutigkeit unterstützen.</t>
  </si>
  <si>
    <t>R9</t>
  </si>
  <si>
    <t>Formale Methoden</t>
  </si>
  <si>
    <t>IEC 61508-7, B.2.2</t>
  </si>
  <si>
    <t>Mathematische Modelle verwenden, um Vollständigkeit, Widerspruchsfreiheit und Korrektheit der Spezifikation zu verbessern beziehungsweise nachzuweisen.</t>
  </si>
  <si>
    <t>Normative Auswahl: IEC 61508-2, 7.2.3.5 und Tabelle B.1. Erläuterungen: IEC 61508-7, Anhang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</si>
</sst>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7">
    <font>
      <sz val="11"/>
      <name val="Carlito"/>
    </font>
    <font>
      <sz val="10"/>
      <color rgb="FF222222"/>
      <name val="Aptos"/>
      <family val="2"/>
    </font>
    <font>
      <b/>
      <sz val="18"/>
      <color rgb="FFFFFFFF"/>
      <name val="Aptos Display"/>
      <family val="2"/>
    </font>
    <font>
      <i/>
      <sz val="10"/>
      <color rgb="FF17365D"/>
      <name val="Aptos"/>
      <family val="2"/>
    </font>
    <font>
      <b/>
      <sz val="11"/>
      <color rgb="FFFFFFFF"/>
      <name val="Aptos"/>
      <family val="2"/>
    </font>
    <font>
      <b/>
      <sz val="10"/>
      <color rgb="FF17365D"/>
      <name val="Aptos"/>
      <family val="2"/>
    </font>
    <font>
      <b/>
      <sz val="10"/>
      <color rgb="FFFFFFFF"/>
      <name val="Aptos"/>
      <family val="2"/>
    </font>
    <font>
      <b/>
      <sz val="14"/>
      <color rgb="FF17365D"/>
      <name val="Aptos"/>
      <family val="2"/>
    </font>
    <font>
      <b/>
      <sz val="11"/>
      <color rgb="FF17365D"/>
      <name val="Aptos"/>
      <family val="2"/>
    </font>
    <font>
      <i/>
      <sz val="9"/>
      <color rgb="FF595959"/>
      <name val="Aptos"/>
      <family val="2"/>
    </font>
    <font>
      <sz val="11"/>
      <name val="Carlito"/>
    </font>
    <font>
      <b/>
      <sz val="11"/>
      <color rgb="FFFFFFFF"/>
      <name val="Aptos Display"/>
      <family val="2"/>
    </font>
    <font>
      <i/>
      <sz val="11"/>
      <color rgb="FF17365D"/>
      <name val="Aptos"/>
      <family val="2"/>
    </font>
    <font>
      <sz val="11"/>
      <color rgb="FF222222"/>
      <name val="Aptos"/>
      <family val="2"/>
    </font>
    <font>
      <i/>
      <sz val="11"/>
      <color rgb="FF595959"/>
      <name val="Aptos"/>
      <family val="2"/>
    </font>
    <font>
      <sz val="11"/>
      <color rgb="FF222222"/>
      <name val="Aptos"/>
      <family val="2"/>
    </font>
    <font>
      <b/>
      <sz val="11"/>
      <color rgb="FF17365D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6B86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0" borderId="0" xfId="1" applyFont="1" applyAlignment="1">
      <alignment vertical="top"/>
    </xf>
    <xf numFmtId="0" fontId="5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top" wrapText="1"/>
    </xf>
    <xf numFmtId="164" fontId="1" fillId="6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6" fillId="7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4" fillId="13" borderId="1" xfId="0" applyFont="1" applyFill="1" applyBorder="1" applyAlignment="1">
      <alignment vertical="center" wrapText="1"/>
    </xf>
    <xf numFmtId="0" fontId="13" fillId="14" borderId="1" xfId="0" applyFont="1" applyFill="1" applyBorder="1" applyAlignment="1">
      <alignment horizontal="center" vertical="top" wrapText="1"/>
    </xf>
    <xf numFmtId="0" fontId="13" fillId="15" borderId="1" xfId="0" applyFont="1" applyFill="1" applyBorder="1" applyAlignment="1">
      <alignment vertical="top" wrapText="1"/>
    </xf>
    <xf numFmtId="0" fontId="13" fillId="16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5" fillId="8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2" fillId="2" borderId="0" xfId="1" applyFont="1" applyFill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9" fillId="9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" fillId="6" borderId="1" xfId="0" applyFont="1" applyFill="1" applyBorder="1" applyAlignment="1">
      <alignment vertical="top" wrapText="1"/>
    </xf>
    <xf numFmtId="164" fontId="1" fillId="6" borderId="1" xfId="0" applyNumberFormat="1" applyFont="1" applyFill="1" applyBorder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top"/>
    </xf>
    <xf numFmtId="0" fontId="11" fillId="10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14" fillId="17" borderId="0" xfId="0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41"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color rgb="FF222222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Reviewpunkte_7_3" displayName="Reviewpunkte_7_3" ref="A7:G13" totalsRowShown="0" dataDxfId="35">
  <autoFilter ref="A7:G13" xr:uid="{00000000-0009-0000-0100-000008000000}"/>
  <tableColumns count="7">
    <tableColumn id="1" xr3:uid="{00000000-0010-0000-0000-000001000000}" name="Nr." dataDxfId="34"/>
    <tableColumn id="2" xr3:uid="{00000000-0010-0000-0000-000002000000}" name="Normkapitel" dataDxfId="33"/>
    <tableColumn id="3" xr3:uid="{00000000-0010-0000-0000-000003000000}" name="Prüffrage / Prüfkriterium" dataDxfId="32"/>
    <tableColumn id="4" xr3:uid="{00000000-0010-0000-0000-000004000000}" name="Prüfergebnis" dataDxfId="31"/>
    <tableColumn id="5" xr3:uid="{00000000-0010-0000-0000-000005000000}" name="Kommentar / Nachweis" dataDxfId="30"/>
    <tableColumn id="6" xr3:uid="{00000000-0010-0000-0000-000006000000}" name="E/A-Dokumente (IDs)" dataDxfId="29"/>
    <tableColumn id="7" xr3:uid="{00000000-0010-0000-0000-000007000000}" name="Status / OK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Dokumentenregister_7_3" displayName="Dokumentenregister_7_3" ref="A7:K19" totalsRowShown="0" dataDxfId="27">
  <autoFilter ref="A7:K19" xr:uid="{00000000-0009-0000-0100-000009000000}"/>
  <tableColumns count="11">
    <tableColumn id="1" xr3:uid="{00000000-0010-0000-0100-000001000000}" name="ID" dataDxfId="26"/>
    <tableColumn id="2" xr3:uid="{00000000-0010-0000-0100-000002000000}" name="Art" dataDxfId="25"/>
    <tableColumn id="3" xr3:uid="{00000000-0010-0000-0100-000003000000}" name="Normbegriff / Dokument" dataDxfId="24"/>
    <tableColumn id="4" xr3:uid="{00000000-0010-0000-0100-000004000000}" name="Funktion / erwarteter Inhalt" dataDxfId="23"/>
    <tableColumn id="5" xr3:uid="{00000000-0010-0000-0100-000005000000}" name="Bezug Prüfpunkt" dataDxfId="22"/>
    <tableColumn id="6" xr3:uid="{00000000-0010-0000-0100-000006000000}" name="Normreferenz" dataDxfId="21"/>
    <tableColumn id="7" xr3:uid="{00000000-0010-0000-0100-000007000000}" name="Dokumentkennung / Referenz" dataDxfId="20"/>
    <tableColumn id="8" xr3:uid="{00000000-0010-0000-0100-000008000000}" name="Version / Index" dataDxfId="19"/>
    <tableColumn id="9" xr3:uid="{00000000-0010-0000-0100-000009000000}" name="Status" dataDxfId="18"/>
    <tableColumn id="10" xr3:uid="{00000000-0010-0000-0100-00000A000000}" name="Verantwortlich" dataDxfId="17"/>
    <tableColumn id="11" xr3:uid="{00000000-0010-0000-0100-00000B000000}" name="Ablageort / Link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iewMassnahmen" displayName="ReviewMassnahmen" ref="A5:G25" totalsRowShown="0">
  <autoFilter ref="A5:G25" xr:uid="{00000000-0009-0000-0100-000003000000}"/>
  <tableColumns count="7">
    <tableColumn id="1" xr3:uid="{00000000-0010-0000-0200-000001000000}" name="ID"/>
    <tableColumn id="2" xr3:uid="{00000000-0010-0000-0200-000002000000}" name="Typ"/>
    <tableColumn id="3" xr3:uid="{00000000-0010-0000-0200-000003000000}" name="Review-Ergebnis / Maßnahme"/>
    <tableColumn id="4" xr3:uid="{00000000-0010-0000-0200-000004000000}" name="Bezug Prüfpunkt"/>
    <tableColumn id="5" xr3:uid="{00000000-0010-0000-0200-000005000000}" name="Verantwortlich"/>
    <tableColumn id="6" xr3:uid="{00000000-0010-0000-0200-000006000000}" name="Fällig am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Empfehlungslegende" displayName="Empfehlungslegende" ref="A5:D9" totalsRowShown="0" dataDxfId="40">
  <tableColumns count="4">
    <tableColumn id="1" xr3:uid="{00000000-0010-0000-0300-000001000000}" name="Kennzeichen" dataDxfId="39"/>
    <tableColumn id="2" xr3:uid="{00000000-0010-0000-0300-000002000000}" name="Bedeutung" dataDxfId="38"/>
    <tableColumn id="3" xr3:uid="{00000000-0010-0000-0300-000003000000}" name="Anwendung im Review" dataDxfId="37"/>
    <tableColumn id="4" xr3:uid="{00000000-0010-0000-0300-000004000000}" name="Geltungsbereich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Arbeitsweise" displayName="Arbeitsweise" ref="A12:D19" totalsRowShown="0">
  <tableColumns count="4">
    <tableColumn id="1" xr3:uid="{00000000-0010-0000-0400-000001000000}" name="Schritt"/>
    <tableColumn id="2" xr3:uid="{00000000-0010-0000-0400-000002000000}" name="Vorgehen"/>
    <tableColumn id="3" xr3:uid="{00000000-0010-0000-0400-000003000000}" name="Dokumentation"/>
    <tableColumn id="4" xr3:uid="{00000000-0010-0000-0400-000004000000}" name="Hinwe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ReviewUnterschriften" displayName="ReviewUnterschriften" ref="A4:C11" totalsRowShown="0">
  <tableColumns count="3">
    <tableColumn id="1" xr3:uid="{00000000-0010-0000-0500-000001000000}" name="Name, Vorname, Abteilung, Funktion"/>
    <tableColumn id="2" xr3:uid="{00000000-0010-0000-0500-000002000000}" name="Datum"/>
    <tableColumn id="3" xr3:uid="{00000000-0010-0000-0500-000003000000}" name="Unterschrift / Bestätig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topLeftCell="A5" workbookViewId="0">
      <selection sqref="A1:H2"/>
    </sheetView>
  </sheetViews>
  <sheetFormatPr baseColWidth="10" defaultColWidth="9" defaultRowHeight="14.25"/>
  <cols>
    <col min="1" max="1" width="22" customWidth="1"/>
    <col min="2" max="4" width="14" customWidth="1"/>
    <col min="5" max="5" width="19" customWidth="1"/>
    <col min="6" max="8" width="14" customWidth="1"/>
  </cols>
  <sheetData>
    <row r="1" spans="1:8" ht="42" customHeight="1">
      <c r="A1" s="31" t="s">
        <v>97</v>
      </c>
      <c r="B1" s="31" t="s">
        <v>0</v>
      </c>
      <c r="C1" s="31" t="s">
        <v>0</v>
      </c>
      <c r="D1" s="31" t="s">
        <v>0</v>
      </c>
      <c r="E1" s="31" t="s">
        <v>0</v>
      </c>
      <c r="F1" s="31" t="s">
        <v>0</v>
      </c>
      <c r="G1" s="31" t="s">
        <v>0</v>
      </c>
      <c r="H1" s="31" t="s">
        <v>0</v>
      </c>
    </row>
    <row r="2" spans="1:8" ht="42" customHeight="1">
      <c r="A2" s="31" t="s">
        <v>0</v>
      </c>
      <c r="B2" s="31" t="s">
        <v>0</v>
      </c>
      <c r="C2" s="31" t="s">
        <v>0</v>
      </c>
      <c r="D2" s="31" t="s">
        <v>0</v>
      </c>
      <c r="E2" s="31" t="s">
        <v>0</v>
      </c>
      <c r="F2" s="31" t="s">
        <v>0</v>
      </c>
      <c r="G2" s="31" t="s">
        <v>0</v>
      </c>
      <c r="H2" s="31" t="s">
        <v>0</v>
      </c>
    </row>
    <row r="3" spans="1:8">
      <c r="A3" s="32" t="s">
        <v>98</v>
      </c>
      <c r="B3" s="32"/>
      <c r="C3" s="32"/>
      <c r="D3" s="32"/>
      <c r="E3" s="32"/>
      <c r="F3" s="32"/>
      <c r="G3" s="32"/>
      <c r="H3" s="32"/>
    </row>
    <row r="4" spans="1:8">
      <c r="A4" s="1"/>
      <c r="B4" s="1"/>
      <c r="C4" s="1"/>
      <c r="D4" s="1"/>
      <c r="E4" s="1"/>
      <c r="F4" s="1"/>
      <c r="G4" s="1"/>
      <c r="H4" s="1"/>
    </row>
    <row r="5" spans="1:8" ht="24" customHeight="1">
      <c r="A5" s="33" t="s">
        <v>1</v>
      </c>
      <c r="B5" s="33" t="s">
        <v>1</v>
      </c>
      <c r="C5" s="33" t="s">
        <v>1</v>
      </c>
      <c r="D5" s="33" t="s">
        <v>1</v>
      </c>
      <c r="E5" s="33" t="s">
        <v>1</v>
      </c>
      <c r="F5" s="33" t="s">
        <v>1</v>
      </c>
      <c r="G5" s="33" t="s">
        <v>1</v>
      </c>
      <c r="H5" s="33" t="s">
        <v>1</v>
      </c>
    </row>
    <row r="6" spans="1:8">
      <c r="A6" s="2" t="s">
        <v>2</v>
      </c>
      <c r="B6" s="34"/>
      <c r="C6" s="34"/>
      <c r="D6" s="34"/>
      <c r="E6" s="2" t="s">
        <v>3</v>
      </c>
      <c r="F6" s="34"/>
      <c r="G6" s="34"/>
      <c r="H6" s="34"/>
    </row>
    <row r="7" spans="1:8">
      <c r="A7" s="2" t="s">
        <v>4</v>
      </c>
      <c r="B7" s="34"/>
      <c r="C7" s="34"/>
      <c r="D7" s="34"/>
      <c r="E7" s="2" t="s">
        <v>5</v>
      </c>
      <c r="F7" s="34"/>
      <c r="G7" s="34"/>
      <c r="H7" s="34"/>
    </row>
    <row r="8" spans="1:8">
      <c r="A8" s="2" t="s">
        <v>6</v>
      </c>
      <c r="B8" s="34"/>
      <c r="C8" s="34"/>
      <c r="D8" s="34"/>
      <c r="E8" s="2" t="s">
        <v>7</v>
      </c>
      <c r="F8" s="34" t="s">
        <v>99</v>
      </c>
      <c r="G8" s="34" t="s">
        <v>8</v>
      </c>
      <c r="H8" s="34" t="s">
        <v>8</v>
      </c>
    </row>
    <row r="9" spans="1:8">
      <c r="A9" s="2" t="s">
        <v>9</v>
      </c>
      <c r="B9" s="34"/>
      <c r="C9" s="34"/>
      <c r="D9" s="34"/>
      <c r="E9" s="2" t="s">
        <v>10</v>
      </c>
      <c r="F9" s="35"/>
      <c r="G9" s="35"/>
      <c r="H9" s="35"/>
    </row>
    <row r="10" spans="1:8">
      <c r="A10" s="2" t="s">
        <v>11</v>
      </c>
      <c r="B10" s="34"/>
      <c r="C10" s="34"/>
      <c r="D10" s="34"/>
      <c r="E10" s="2" t="s">
        <v>12</v>
      </c>
      <c r="F10" s="34"/>
      <c r="G10" s="34"/>
      <c r="H10" s="34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 ht="24" customHeight="1">
      <c r="A12" s="33" t="s">
        <v>13</v>
      </c>
      <c r="B12" s="33" t="s">
        <v>13</v>
      </c>
      <c r="C12" s="33" t="s">
        <v>13</v>
      </c>
      <c r="D12" s="33" t="s">
        <v>13</v>
      </c>
      <c r="E12" s="33" t="s">
        <v>13</v>
      </c>
      <c r="F12" s="33" t="s">
        <v>13</v>
      </c>
      <c r="G12" s="33" t="s">
        <v>13</v>
      </c>
      <c r="H12" s="33" t="s">
        <v>13</v>
      </c>
    </row>
    <row r="13" spans="1:8">
      <c r="A13" s="2" t="s">
        <v>14</v>
      </c>
      <c r="B13" s="34"/>
      <c r="C13" s="34"/>
      <c r="D13" s="34"/>
      <c r="E13" s="34"/>
      <c r="F13" s="34"/>
      <c r="G13" s="34"/>
      <c r="H13" s="34"/>
    </row>
    <row r="14" spans="1:8">
      <c r="A14" s="2" t="s">
        <v>15</v>
      </c>
      <c r="B14" s="34"/>
      <c r="C14" s="34"/>
      <c r="D14" s="34"/>
      <c r="E14" s="34"/>
      <c r="F14" s="34"/>
      <c r="G14" s="34"/>
      <c r="H14" s="34"/>
    </row>
    <row r="15" spans="1:8">
      <c r="A15" s="2" t="s">
        <v>16</v>
      </c>
      <c r="B15" s="34"/>
      <c r="C15" s="34"/>
      <c r="D15" s="34"/>
      <c r="E15" s="34"/>
      <c r="F15" s="34"/>
      <c r="G15" s="34"/>
      <c r="H15" s="34"/>
    </row>
    <row r="16" spans="1:8">
      <c r="A16" s="2" t="s">
        <v>17</v>
      </c>
      <c r="B16" s="34"/>
      <c r="C16" s="34"/>
      <c r="D16" s="34"/>
      <c r="E16" s="34"/>
      <c r="F16" s="34"/>
      <c r="G16" s="34"/>
      <c r="H16" s="34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 ht="24" customHeight="1">
      <c r="A18" s="33" t="s">
        <v>18</v>
      </c>
      <c r="B18" s="33" t="s">
        <v>18</v>
      </c>
      <c r="C18" s="33" t="s">
        <v>18</v>
      </c>
      <c r="D18" s="33" t="s">
        <v>18</v>
      </c>
      <c r="E18" s="33" t="s">
        <v>18</v>
      </c>
      <c r="F18" s="33" t="s">
        <v>18</v>
      </c>
      <c r="G18" s="33" t="s">
        <v>18</v>
      </c>
      <c r="H18" s="33" t="s">
        <v>18</v>
      </c>
    </row>
    <row r="19" spans="1:8">
      <c r="A19" s="6" t="s">
        <v>19</v>
      </c>
      <c r="B19" s="6"/>
      <c r="C19" s="6" t="s">
        <v>20</v>
      </c>
      <c r="D19" s="6"/>
      <c r="E19" s="6" t="s">
        <v>21</v>
      </c>
      <c r="F19" s="6"/>
      <c r="G19" s="6" t="s">
        <v>22</v>
      </c>
      <c r="H19" s="6" t="s">
        <v>23</v>
      </c>
    </row>
    <row r="20" spans="1:8" ht="18.75">
      <c r="A20" s="7">
        <f>COUNTA('Review 7.2'!A8:A16)</f>
        <v>9</v>
      </c>
      <c r="B20" s="7"/>
      <c r="C20" s="7">
        <f>COUNTIF('Review 7.2'!G8:G16,"OK")</f>
        <v>0</v>
      </c>
      <c r="D20" s="7"/>
      <c r="E20" s="7">
        <f>COUNTIF('Review 7.2'!G8:G16,"Nicht OK")</f>
        <v>0</v>
      </c>
      <c r="F20" s="7"/>
      <c r="G20" s="7">
        <f>COUNTIF('Review 7.2'!G8:G16,"Nicht geprüft")</f>
        <v>9</v>
      </c>
      <c r="H20" s="8">
        <f>IF(A20=0,0,(C20+E20)/A20)</f>
        <v>0</v>
      </c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2" t="s">
        <v>24</v>
      </c>
      <c r="B22" s="34"/>
      <c r="C22" s="34"/>
      <c r="D22" s="34"/>
      <c r="E22" s="34"/>
      <c r="F22" s="34"/>
      <c r="G22" s="34"/>
      <c r="H22" s="34"/>
    </row>
    <row r="23" spans="1:8" ht="27.95" customHeight="1">
      <c r="A23" s="2" t="s">
        <v>25</v>
      </c>
      <c r="B23" s="34"/>
      <c r="C23" s="34"/>
      <c r="D23" s="34"/>
      <c r="E23" s="34"/>
      <c r="F23" s="34"/>
      <c r="G23" s="34"/>
      <c r="H23" s="34"/>
    </row>
    <row r="24" spans="1:8" ht="27.95" customHeight="1">
      <c r="A24" s="5"/>
      <c r="B24" s="34"/>
      <c r="C24" s="34"/>
      <c r="D24" s="34"/>
      <c r="E24" s="34"/>
      <c r="F24" s="34"/>
      <c r="G24" s="34"/>
      <c r="H24" s="34"/>
    </row>
    <row r="25" spans="1:8" ht="27.95" customHeight="1">
      <c r="A25" s="5"/>
      <c r="B25" s="34"/>
      <c r="C25" s="34"/>
      <c r="D25" s="34"/>
      <c r="E25" s="34"/>
      <c r="F25" s="34"/>
      <c r="G25" s="34"/>
      <c r="H25" s="34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 ht="26.1" customHeight="1">
      <c r="A27" s="2" t="s">
        <v>26</v>
      </c>
      <c r="B27" s="34" t="s">
        <v>100</v>
      </c>
      <c r="C27" s="34" t="s">
        <v>27</v>
      </c>
      <c r="D27" s="34" t="s">
        <v>27</v>
      </c>
      <c r="E27" s="34" t="s">
        <v>27</v>
      </c>
      <c r="F27" s="34" t="s">
        <v>27</v>
      </c>
      <c r="G27" s="34" t="s">
        <v>27</v>
      </c>
      <c r="H27" s="34" t="s">
        <v>27</v>
      </c>
    </row>
    <row r="28" spans="1:8" ht="26.1" customHeight="1">
      <c r="A28" s="5"/>
      <c r="B28" s="34" t="s">
        <v>27</v>
      </c>
      <c r="C28" s="34" t="s">
        <v>27</v>
      </c>
      <c r="D28" s="34" t="s">
        <v>27</v>
      </c>
      <c r="E28" s="34" t="s">
        <v>27</v>
      </c>
      <c r="F28" s="34" t="s">
        <v>27</v>
      </c>
      <c r="G28" s="34" t="s">
        <v>27</v>
      </c>
      <c r="H28" s="34" t="s">
        <v>27</v>
      </c>
    </row>
    <row r="29" spans="1:8" ht="26.1" customHeight="1">
      <c r="A29" s="5"/>
      <c r="B29" s="34" t="s">
        <v>27</v>
      </c>
      <c r="C29" s="34" t="s">
        <v>27</v>
      </c>
      <c r="D29" s="34" t="s">
        <v>27</v>
      </c>
      <c r="E29" s="34" t="s">
        <v>27</v>
      </c>
      <c r="F29" s="34" t="s">
        <v>27</v>
      </c>
      <c r="G29" s="34" t="s">
        <v>27</v>
      </c>
      <c r="H29" s="34" t="s">
        <v>27</v>
      </c>
    </row>
    <row r="30" spans="1:8" ht="26.1" customHeight="1">
      <c r="A30" s="5"/>
      <c r="B30" s="34" t="s">
        <v>27</v>
      </c>
      <c r="C30" s="34" t="s">
        <v>27</v>
      </c>
      <c r="D30" s="34" t="s">
        <v>27</v>
      </c>
      <c r="E30" s="34" t="s">
        <v>27</v>
      </c>
      <c r="F30" s="34" t="s">
        <v>27</v>
      </c>
      <c r="G30" s="34" t="s">
        <v>27</v>
      </c>
      <c r="H30" s="34" t="s">
        <v>27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</sheetData>
  <mergeCells count="22">
    <mergeCell ref="B27:H30"/>
    <mergeCell ref="B15:H15"/>
    <mergeCell ref="B16:H16"/>
    <mergeCell ref="A18:H18"/>
    <mergeCell ref="B22:H22"/>
    <mergeCell ref="B23:H25"/>
    <mergeCell ref="B10:D10"/>
    <mergeCell ref="F10:H10"/>
    <mergeCell ref="A12:H12"/>
    <mergeCell ref="B13:H13"/>
    <mergeCell ref="B14:H14"/>
    <mergeCell ref="B7:D7"/>
    <mergeCell ref="F7:H7"/>
    <mergeCell ref="B8:D8"/>
    <mergeCell ref="F8:H8"/>
    <mergeCell ref="B9:D9"/>
    <mergeCell ref="F9:H9"/>
    <mergeCell ref="A1:H2"/>
    <mergeCell ref="A3:H3"/>
    <mergeCell ref="A5:H5"/>
    <mergeCell ref="B6:D6"/>
    <mergeCell ref="F6:H6"/>
  </mergeCells>
  <dataValidations count="2">
    <dataValidation type="list" sqref="B8:D8" xr:uid="{00000000-0002-0000-0000-000000000000}">
      <formula1>"SIL 1,SIL 2,SIL 3"</formula1>
    </dataValidation>
    <dataValidation type="list" sqref="B22:H22" xr:uid="{00000000-0002-0000-0000-000001000000}">
      <formula1>"Dokument muss überarbeitet werden und kann danach freigegeben werden,Dokument muss überarbeitet werden und danach einem Review unterzogen werden,Dokument kann zum externen Review vorgelegt werden,Dokument kann freigegeben werden"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zoomScaleNormal="100" workbookViewId="0">
      <selection activeCell="A8" sqref="A8:G22"/>
    </sheetView>
  </sheetViews>
  <sheetFormatPr baseColWidth="10" defaultColWidth="9" defaultRowHeight="14.25"/>
  <cols>
    <col min="1" max="1" width="8" customWidth="1"/>
    <col min="2" max="2" width="14" customWidth="1"/>
    <col min="3" max="3" width="72" customWidth="1"/>
    <col min="4" max="5" width="34" customWidth="1"/>
    <col min="6" max="6" width="25" customWidth="1"/>
    <col min="7" max="7" width="17" customWidth="1"/>
  </cols>
  <sheetData>
    <row r="1" spans="1:7" ht="33.950000000000003" customHeight="1">
      <c r="A1" s="28" t="s">
        <v>101</v>
      </c>
      <c r="B1" s="28" t="s">
        <v>28</v>
      </c>
      <c r="C1" s="28" t="s">
        <v>28</v>
      </c>
      <c r="D1" s="28" t="s">
        <v>28</v>
      </c>
      <c r="E1" s="28" t="s">
        <v>28</v>
      </c>
      <c r="F1" s="28" t="s">
        <v>28</v>
      </c>
      <c r="G1" s="28" t="s">
        <v>28</v>
      </c>
    </row>
    <row r="2" spans="1:7" ht="33.950000000000003" customHeight="1">
      <c r="A2" s="28" t="s">
        <v>28</v>
      </c>
      <c r="B2" s="28" t="s">
        <v>28</v>
      </c>
      <c r="C2" s="28" t="s">
        <v>28</v>
      </c>
      <c r="D2" s="28" t="s">
        <v>28</v>
      </c>
      <c r="E2" s="28" t="s">
        <v>28</v>
      </c>
      <c r="F2" s="28" t="s">
        <v>28</v>
      </c>
      <c r="G2" s="28" t="s">
        <v>28</v>
      </c>
    </row>
    <row r="3" spans="1:7">
      <c r="A3" s="36" t="s">
        <v>102</v>
      </c>
      <c r="B3" s="36"/>
      <c r="C3" s="36"/>
      <c r="D3" s="36"/>
      <c r="E3" s="36"/>
      <c r="F3" s="36"/>
      <c r="G3" s="36"/>
    </row>
    <row r="4" spans="1:7">
      <c r="A4" s="1"/>
      <c r="B4" s="1"/>
      <c r="C4" s="1"/>
      <c r="D4" s="1"/>
      <c r="E4" s="1"/>
      <c r="F4" s="1"/>
      <c r="G4" s="1"/>
    </row>
    <row r="5" spans="1:7" ht="15">
      <c r="A5" s="9" t="s">
        <v>103</v>
      </c>
      <c r="B5" s="9" t="s">
        <v>104</v>
      </c>
      <c r="C5" s="9" t="s">
        <v>105</v>
      </c>
      <c r="D5" s="9"/>
      <c r="E5" s="9"/>
      <c r="F5" s="9" t="s">
        <v>106</v>
      </c>
      <c r="G5" s="9" t="s">
        <v>107</v>
      </c>
    </row>
    <row r="6" spans="1:7">
      <c r="A6" s="5"/>
      <c r="B6" s="5"/>
      <c r="C6" s="5"/>
      <c r="D6" s="5"/>
      <c r="E6" s="5"/>
      <c r="F6" s="5"/>
      <c r="G6" s="5"/>
    </row>
    <row r="7" spans="1:7" ht="32.1" customHeight="1">
      <c r="A7" s="10" t="s">
        <v>108</v>
      </c>
      <c r="B7" s="10" t="s">
        <v>109</v>
      </c>
      <c r="C7" s="10" t="s">
        <v>110</v>
      </c>
      <c r="D7" s="10" t="s">
        <v>111</v>
      </c>
      <c r="E7" s="10" t="s">
        <v>112</v>
      </c>
      <c r="F7" s="10" t="s">
        <v>113</v>
      </c>
      <c r="G7" s="10" t="s">
        <v>107</v>
      </c>
    </row>
    <row r="8" spans="1:7" ht="75.95" customHeight="1">
      <c r="A8" s="21" t="s">
        <v>114</v>
      </c>
      <c r="B8" s="21" t="s">
        <v>115</v>
      </c>
      <c r="C8" s="22" t="s">
        <v>116</v>
      </c>
      <c r="D8" s="23"/>
      <c r="E8" s="23"/>
      <c r="F8" s="24" t="s">
        <v>117</v>
      </c>
      <c r="G8" s="25" t="s">
        <v>22</v>
      </c>
    </row>
    <row r="9" spans="1:7" ht="75.95" customHeight="1">
      <c r="A9" s="21" t="s">
        <v>84</v>
      </c>
      <c r="B9" s="21" t="s">
        <v>118</v>
      </c>
      <c r="C9" s="22" t="s">
        <v>119</v>
      </c>
      <c r="D9" s="23"/>
      <c r="E9" s="23"/>
      <c r="F9" s="24" t="s">
        <v>117</v>
      </c>
      <c r="G9" s="25" t="s">
        <v>22</v>
      </c>
    </row>
    <row r="10" spans="1:7" ht="150" customHeight="1">
      <c r="A10" s="21" t="s">
        <v>120</v>
      </c>
      <c r="B10" s="21" t="s">
        <v>121</v>
      </c>
      <c r="C10" s="22" t="s">
        <v>122</v>
      </c>
      <c r="D10" s="23"/>
      <c r="E10" s="23"/>
      <c r="F10" s="24" t="s">
        <v>123</v>
      </c>
      <c r="G10" s="25" t="s">
        <v>22</v>
      </c>
    </row>
    <row r="11" spans="1:7" ht="92.1" customHeight="1">
      <c r="A11" s="21" t="s">
        <v>124</v>
      </c>
      <c r="B11" s="21" t="s">
        <v>125</v>
      </c>
      <c r="C11" s="22" t="s">
        <v>126</v>
      </c>
      <c r="D11" s="23"/>
      <c r="E11" s="23"/>
      <c r="F11" s="24" t="s">
        <v>127</v>
      </c>
      <c r="G11" s="25" t="s">
        <v>22</v>
      </c>
    </row>
    <row r="12" spans="1:7" ht="264.95" customHeight="1">
      <c r="A12" s="21" t="s">
        <v>128</v>
      </c>
      <c r="B12" s="21" t="s">
        <v>129</v>
      </c>
      <c r="C12" s="22" t="s">
        <v>130</v>
      </c>
      <c r="D12" s="23"/>
      <c r="E12" s="23"/>
      <c r="F12" s="24" t="s">
        <v>131</v>
      </c>
      <c r="G12" s="25" t="s">
        <v>22</v>
      </c>
    </row>
    <row r="13" spans="1:7" ht="264.95" customHeight="1">
      <c r="A13" s="21" t="s">
        <v>132</v>
      </c>
      <c r="B13" s="21" t="s">
        <v>133</v>
      </c>
      <c r="C13" s="22" t="s">
        <v>134</v>
      </c>
      <c r="D13" s="23"/>
      <c r="E13" s="23"/>
      <c r="F13" s="24" t="s">
        <v>135</v>
      </c>
      <c r="G13" s="25" t="s">
        <v>22</v>
      </c>
    </row>
    <row r="14" spans="1:7" ht="92.1" customHeight="1">
      <c r="A14" s="21" t="s">
        <v>136</v>
      </c>
      <c r="B14" s="21" t="s">
        <v>137</v>
      </c>
      <c r="C14" s="22" t="s">
        <v>138</v>
      </c>
      <c r="D14" s="23"/>
      <c r="E14" s="23"/>
      <c r="F14" s="24" t="s">
        <v>139</v>
      </c>
      <c r="G14" s="25" t="s">
        <v>22</v>
      </c>
    </row>
    <row r="15" spans="1:7" ht="92.1" customHeight="1">
      <c r="A15" s="21" t="s">
        <v>88</v>
      </c>
      <c r="B15" s="21" t="s">
        <v>140</v>
      </c>
      <c r="C15" s="22" t="s">
        <v>141</v>
      </c>
      <c r="D15" s="23"/>
      <c r="E15" s="23"/>
      <c r="F15" s="24" t="s">
        <v>142</v>
      </c>
      <c r="G15" s="25" t="s">
        <v>22</v>
      </c>
    </row>
    <row r="16" spans="1:7" ht="92.1" customHeight="1">
      <c r="A16" s="21" t="s">
        <v>143</v>
      </c>
      <c r="B16" s="21" t="s">
        <v>144</v>
      </c>
      <c r="C16" s="22" t="s">
        <v>145</v>
      </c>
      <c r="D16" s="23"/>
      <c r="E16" s="23"/>
      <c r="F16" s="24" t="s">
        <v>146</v>
      </c>
      <c r="G16" s="25" t="s">
        <v>22</v>
      </c>
    </row>
    <row r="17" spans="1:7" ht="165" customHeight="1">
      <c r="A17" s="21"/>
      <c r="B17" s="21"/>
      <c r="C17" s="22"/>
      <c r="D17" s="23"/>
      <c r="E17" s="23"/>
      <c r="F17" s="24"/>
      <c r="G17" s="25"/>
    </row>
    <row r="18" spans="1:7" ht="165" customHeight="1">
      <c r="A18" s="21"/>
      <c r="B18" s="21"/>
      <c r="C18" s="22"/>
      <c r="D18" s="23"/>
      <c r="E18" s="23"/>
      <c r="F18" s="24"/>
      <c r="G18" s="25"/>
    </row>
    <row r="19" spans="1:7" ht="156.94999999999999" customHeight="1">
      <c r="A19" s="21"/>
      <c r="B19" s="21"/>
      <c r="C19" s="22"/>
      <c r="D19" s="23"/>
      <c r="E19" s="23"/>
      <c r="F19" s="24"/>
      <c r="G19" s="25"/>
    </row>
    <row r="20" spans="1:7" ht="123.95" customHeight="1">
      <c r="A20" s="21"/>
      <c r="B20" s="21"/>
      <c r="C20" s="22"/>
      <c r="D20" s="23"/>
      <c r="E20" s="23"/>
      <c r="F20" s="24"/>
      <c r="G20" s="25"/>
    </row>
    <row r="21" spans="1:7" ht="182.1" customHeight="1">
      <c r="A21" s="21"/>
      <c r="B21" s="21"/>
      <c r="C21" s="22"/>
      <c r="D21" s="23"/>
      <c r="E21" s="23"/>
      <c r="F21" s="24"/>
      <c r="G21" s="25"/>
    </row>
    <row r="22" spans="1:7" ht="72" customHeight="1">
      <c r="A22" s="21"/>
      <c r="B22" s="21"/>
      <c r="C22" s="22"/>
      <c r="D22" s="23"/>
      <c r="E22" s="23"/>
      <c r="F22" s="24"/>
      <c r="G22" s="25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</sheetData>
  <mergeCells count="2">
    <mergeCell ref="A1:G2"/>
    <mergeCell ref="A3:G3"/>
  </mergeCells>
  <conditionalFormatting sqref="G8:G13">
    <cfRule type="expression" dxfId="15" priority="5">
      <formula>G8="OK"</formula>
    </cfRule>
    <cfRule type="expression" dxfId="14" priority="6">
      <formula>G8="Nicht OK"</formula>
    </cfRule>
    <cfRule type="expression" dxfId="13" priority="7">
      <formula>G8="Nicht geprüft"</formula>
    </cfRule>
    <cfRule type="expression" dxfId="12" priority="8">
      <formula>G8="n. a."</formula>
    </cfRule>
  </conditionalFormatting>
  <conditionalFormatting sqref="G8:G22">
    <cfRule type="expression" dxfId="11" priority="1">
      <formula>G8="OK"</formula>
    </cfRule>
    <cfRule type="expression" dxfId="10" priority="2">
      <formula>G8="Nicht OK"</formula>
    </cfRule>
    <cfRule type="expression" dxfId="9" priority="3">
      <formula>G8="Nicht geprüft"</formula>
    </cfRule>
    <cfRule type="expression" dxfId="8" priority="4">
      <formula>G8="n. a."</formula>
    </cfRule>
  </conditionalFormatting>
  <dataValidations count="1">
    <dataValidation type="list" sqref="G8:G22" xr:uid="{00000000-0002-0000-0100-000000000000}">
      <formula1>"Nicht geprüft,OK,Nicht OK,n. a."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showGridLines="0" topLeftCell="A2" workbookViewId="0">
      <selection activeCell="C12" sqref="C12"/>
    </sheetView>
  </sheetViews>
  <sheetFormatPr baseColWidth="10" defaultColWidth="9" defaultRowHeight="14.25"/>
  <cols>
    <col min="1" max="1" width="9" customWidth="1"/>
    <col min="2" max="2" width="18" customWidth="1"/>
    <col min="3" max="3" width="42" customWidth="1"/>
    <col min="4" max="4" width="52" customWidth="1"/>
    <col min="5" max="5" width="18" customWidth="1"/>
    <col min="6" max="6" width="46" customWidth="1"/>
    <col min="7" max="7" width="28" customWidth="1"/>
    <col min="8" max="8" width="14" customWidth="1"/>
    <col min="9" max="9" width="19" customWidth="1"/>
    <col min="10" max="10" width="22" customWidth="1"/>
    <col min="11" max="11" width="34" customWidth="1"/>
  </cols>
  <sheetData>
    <row r="1" spans="1:11" ht="33.950000000000003" customHeight="1">
      <c r="A1" s="28" t="s">
        <v>147</v>
      </c>
      <c r="B1" s="28" t="s">
        <v>29</v>
      </c>
      <c r="C1" s="28" t="s">
        <v>29</v>
      </c>
      <c r="D1" s="28" t="s">
        <v>29</v>
      </c>
      <c r="E1" s="28" t="s">
        <v>29</v>
      </c>
      <c r="F1" s="28" t="s">
        <v>29</v>
      </c>
      <c r="G1" s="28" t="s">
        <v>29</v>
      </c>
      <c r="H1" s="28" t="s">
        <v>29</v>
      </c>
      <c r="I1" s="28" t="s">
        <v>29</v>
      </c>
      <c r="J1" s="28" t="s">
        <v>29</v>
      </c>
      <c r="K1" s="28" t="s">
        <v>29</v>
      </c>
    </row>
    <row r="2" spans="1:11" ht="33.950000000000003" customHeight="1">
      <c r="A2" s="28" t="s">
        <v>29</v>
      </c>
      <c r="B2" s="28" t="s">
        <v>29</v>
      </c>
      <c r="C2" s="28" t="s">
        <v>29</v>
      </c>
      <c r="D2" s="28" t="s">
        <v>29</v>
      </c>
      <c r="E2" s="28" t="s">
        <v>29</v>
      </c>
      <c r="F2" s="28" t="s">
        <v>29</v>
      </c>
      <c r="G2" s="28" t="s">
        <v>29</v>
      </c>
      <c r="H2" s="28" t="s">
        <v>29</v>
      </c>
      <c r="I2" s="28" t="s">
        <v>29</v>
      </c>
      <c r="J2" s="28" t="s">
        <v>29</v>
      </c>
      <c r="K2" s="28" t="s">
        <v>29</v>
      </c>
    </row>
    <row r="3" spans="1:11">
      <c r="A3" s="36" t="s">
        <v>30</v>
      </c>
      <c r="B3" s="36" t="s">
        <v>30</v>
      </c>
      <c r="C3" s="36" t="s">
        <v>30</v>
      </c>
      <c r="D3" s="36" t="s">
        <v>30</v>
      </c>
      <c r="E3" s="36" t="s">
        <v>30</v>
      </c>
      <c r="F3" s="36" t="s">
        <v>30</v>
      </c>
      <c r="G3" s="36" t="s">
        <v>30</v>
      </c>
      <c r="H3" s="36" t="s">
        <v>30</v>
      </c>
      <c r="I3" s="36" t="s">
        <v>30</v>
      </c>
      <c r="J3" s="36" t="s">
        <v>30</v>
      </c>
      <c r="K3" s="36" t="s">
        <v>30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>
      <c r="A5" s="14" t="s">
        <v>148</v>
      </c>
      <c r="B5" s="14">
        <f>COUNTA(A8:A27)</f>
        <v>20</v>
      </c>
      <c r="C5" s="14"/>
      <c r="D5" s="14" t="s">
        <v>149</v>
      </c>
      <c r="E5" s="14">
        <f>COUNTIF(B8:B27,"Eingabe")</f>
        <v>1</v>
      </c>
      <c r="F5" s="14" t="s">
        <v>150</v>
      </c>
      <c r="G5" s="14">
        <f>COUNTIF(B8:B27,"Ausgabe")</f>
        <v>19</v>
      </c>
      <c r="H5" s="14" t="s">
        <v>151</v>
      </c>
      <c r="I5" s="14">
        <f>COUNTIF(I8:I27,"Geprüft / freigegeben")</f>
        <v>0</v>
      </c>
      <c r="J5" s="14" t="s">
        <v>152</v>
      </c>
      <c r="K5" s="14">
        <f>COUNTIF(I8:I27,"Nicht vorgelegt")</f>
        <v>20</v>
      </c>
    </row>
    <row r="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33.950000000000003" customHeight="1">
      <c r="A7" s="10" t="s">
        <v>33</v>
      </c>
      <c r="B7" s="10" t="s">
        <v>153</v>
      </c>
      <c r="C7" s="10" t="s">
        <v>154</v>
      </c>
      <c r="D7" s="10" t="s">
        <v>155</v>
      </c>
      <c r="E7" s="10" t="s">
        <v>36</v>
      </c>
      <c r="F7" s="10" t="s">
        <v>156</v>
      </c>
      <c r="G7" s="10" t="s">
        <v>157</v>
      </c>
      <c r="H7" s="10" t="s">
        <v>158</v>
      </c>
      <c r="I7" s="10" t="s">
        <v>39</v>
      </c>
      <c r="J7" s="10" t="s">
        <v>37</v>
      </c>
      <c r="K7" s="10" t="s">
        <v>159</v>
      </c>
    </row>
    <row r="8" spans="1:11" ht="63.95" customHeight="1">
      <c r="A8" s="21" t="s">
        <v>160</v>
      </c>
      <c r="B8" s="21" t="s">
        <v>161</v>
      </c>
      <c r="C8" s="22" t="s">
        <v>162</v>
      </c>
      <c r="D8" s="22" t="s">
        <v>163</v>
      </c>
      <c r="E8" s="21" t="s">
        <v>164</v>
      </c>
      <c r="F8" s="22" t="s">
        <v>165</v>
      </c>
      <c r="G8" s="23"/>
      <c r="H8" s="25"/>
      <c r="I8" s="25" t="s">
        <v>152</v>
      </c>
      <c r="J8" s="23"/>
      <c r="K8" s="23"/>
    </row>
    <row r="9" spans="1:11" ht="63.95" customHeight="1">
      <c r="A9" s="21" t="s">
        <v>127</v>
      </c>
      <c r="B9" s="21" t="s">
        <v>166</v>
      </c>
      <c r="C9" s="22" t="s">
        <v>104</v>
      </c>
      <c r="D9" s="22" t="s">
        <v>167</v>
      </c>
      <c r="E9" s="21" t="s">
        <v>168</v>
      </c>
      <c r="F9" s="22" t="s">
        <v>169</v>
      </c>
      <c r="G9" s="23"/>
      <c r="H9" s="25"/>
      <c r="I9" s="25" t="s">
        <v>152</v>
      </c>
      <c r="J9" s="23"/>
      <c r="K9" s="23"/>
    </row>
    <row r="10" spans="1:11" ht="63.95" customHeight="1">
      <c r="A10" s="21" t="s">
        <v>170</v>
      </c>
      <c r="B10" s="21" t="s">
        <v>166</v>
      </c>
      <c r="C10" s="22" t="s">
        <v>171</v>
      </c>
      <c r="D10" s="22" t="s">
        <v>172</v>
      </c>
      <c r="E10" s="21" t="s">
        <v>120</v>
      </c>
      <c r="F10" s="22" t="s">
        <v>173</v>
      </c>
      <c r="G10" s="23"/>
      <c r="H10" s="25"/>
      <c r="I10" s="25" t="s">
        <v>152</v>
      </c>
      <c r="J10" s="23"/>
      <c r="K10" s="23"/>
    </row>
    <row r="11" spans="1:11" ht="63.95" customHeight="1">
      <c r="A11" s="21" t="s">
        <v>174</v>
      </c>
      <c r="B11" s="21" t="s">
        <v>166</v>
      </c>
      <c r="C11" s="22" t="s">
        <v>175</v>
      </c>
      <c r="D11" s="22" t="s">
        <v>176</v>
      </c>
      <c r="E11" s="21" t="s">
        <v>128</v>
      </c>
      <c r="F11" s="22" t="s">
        <v>177</v>
      </c>
      <c r="G11" s="23"/>
      <c r="H11" s="25"/>
      <c r="I11" s="25" t="s">
        <v>152</v>
      </c>
      <c r="J11" s="23"/>
      <c r="K11" s="23"/>
    </row>
    <row r="12" spans="1:11" ht="63.95" customHeight="1">
      <c r="A12" s="21" t="s">
        <v>178</v>
      </c>
      <c r="B12" s="21" t="s">
        <v>166</v>
      </c>
      <c r="C12" s="22" t="s">
        <v>179</v>
      </c>
      <c r="D12" s="22" t="s">
        <v>180</v>
      </c>
      <c r="E12" s="21" t="s">
        <v>128</v>
      </c>
      <c r="F12" s="22" t="s">
        <v>181</v>
      </c>
      <c r="G12" s="23"/>
      <c r="H12" s="25"/>
      <c r="I12" s="25" t="s">
        <v>152</v>
      </c>
      <c r="J12" s="23"/>
      <c r="K12" s="23"/>
    </row>
    <row r="13" spans="1:11" ht="63.95" customHeight="1">
      <c r="A13" s="21" t="s">
        <v>182</v>
      </c>
      <c r="B13" s="21" t="s">
        <v>166</v>
      </c>
      <c r="C13" s="22" t="s">
        <v>183</v>
      </c>
      <c r="D13" s="22" t="s">
        <v>184</v>
      </c>
      <c r="E13" s="21" t="s">
        <v>128</v>
      </c>
      <c r="F13" s="22" t="s">
        <v>185</v>
      </c>
      <c r="G13" s="23"/>
      <c r="H13" s="25"/>
      <c r="I13" s="25" t="s">
        <v>152</v>
      </c>
      <c r="J13" s="23"/>
      <c r="K13" s="23"/>
    </row>
    <row r="14" spans="1:11" ht="63.95" customHeight="1">
      <c r="A14" s="21" t="s">
        <v>186</v>
      </c>
      <c r="B14" s="21" t="s">
        <v>166</v>
      </c>
      <c r="C14" s="22" t="s">
        <v>187</v>
      </c>
      <c r="D14" s="22" t="s">
        <v>188</v>
      </c>
      <c r="E14" s="21" t="s">
        <v>128</v>
      </c>
      <c r="F14" s="22" t="s">
        <v>189</v>
      </c>
      <c r="G14" s="23"/>
      <c r="H14" s="25"/>
      <c r="I14" s="25" t="s">
        <v>152</v>
      </c>
      <c r="J14" s="23"/>
      <c r="K14" s="23"/>
    </row>
    <row r="15" spans="1:11" ht="63.95" customHeight="1">
      <c r="A15" s="21" t="s">
        <v>190</v>
      </c>
      <c r="B15" s="21" t="s">
        <v>166</v>
      </c>
      <c r="C15" s="22" t="s">
        <v>191</v>
      </c>
      <c r="D15" s="22" t="s">
        <v>192</v>
      </c>
      <c r="E15" s="21" t="s">
        <v>128</v>
      </c>
      <c r="F15" s="22" t="s">
        <v>193</v>
      </c>
      <c r="G15" s="23"/>
      <c r="H15" s="25"/>
      <c r="I15" s="25" t="s">
        <v>152</v>
      </c>
      <c r="J15" s="23"/>
      <c r="K15" s="23"/>
    </row>
    <row r="16" spans="1:11" ht="63.95" customHeight="1">
      <c r="A16" s="21" t="s">
        <v>194</v>
      </c>
      <c r="B16" s="21" t="s">
        <v>166</v>
      </c>
      <c r="C16" s="22" t="s">
        <v>195</v>
      </c>
      <c r="D16" s="22" t="s">
        <v>196</v>
      </c>
      <c r="E16" s="21" t="s">
        <v>128</v>
      </c>
      <c r="F16" s="22" t="s">
        <v>197</v>
      </c>
      <c r="G16" s="23"/>
      <c r="H16" s="25"/>
      <c r="I16" s="25" t="s">
        <v>152</v>
      </c>
      <c r="J16" s="23"/>
      <c r="K16" s="23"/>
    </row>
    <row r="17" spans="1:11" ht="63.95" customHeight="1">
      <c r="A17" s="21" t="s">
        <v>198</v>
      </c>
      <c r="B17" s="21" t="s">
        <v>166</v>
      </c>
      <c r="C17" s="22" t="s">
        <v>199</v>
      </c>
      <c r="D17" s="22" t="s">
        <v>200</v>
      </c>
      <c r="E17" s="21" t="s">
        <v>128</v>
      </c>
      <c r="F17" s="22" t="s">
        <v>201</v>
      </c>
      <c r="G17" s="23"/>
      <c r="H17" s="25"/>
      <c r="I17" s="25" t="s">
        <v>152</v>
      </c>
      <c r="J17" s="23"/>
      <c r="K17" s="23"/>
    </row>
    <row r="18" spans="1:11" ht="63.95" customHeight="1">
      <c r="A18" s="21" t="s">
        <v>202</v>
      </c>
      <c r="B18" s="21" t="s">
        <v>166</v>
      </c>
      <c r="C18" s="22" t="s">
        <v>203</v>
      </c>
      <c r="D18" s="22" t="s">
        <v>204</v>
      </c>
      <c r="E18" s="21" t="s">
        <v>132</v>
      </c>
      <c r="F18" s="22" t="s">
        <v>205</v>
      </c>
      <c r="G18" s="23"/>
      <c r="H18" s="25"/>
      <c r="I18" s="25" t="s">
        <v>152</v>
      </c>
      <c r="J18" s="23"/>
      <c r="K18" s="23"/>
    </row>
    <row r="19" spans="1:11" ht="63.95" customHeight="1">
      <c r="A19" s="21" t="s">
        <v>206</v>
      </c>
      <c r="B19" s="21" t="s">
        <v>166</v>
      </c>
      <c r="C19" s="22" t="s">
        <v>207</v>
      </c>
      <c r="D19" s="22" t="s">
        <v>208</v>
      </c>
      <c r="E19" s="21" t="s">
        <v>132</v>
      </c>
      <c r="F19" s="22" t="s">
        <v>209</v>
      </c>
      <c r="G19" s="23"/>
      <c r="H19" s="25"/>
      <c r="I19" s="25" t="s">
        <v>152</v>
      </c>
      <c r="J19" s="23"/>
      <c r="K19" s="23"/>
    </row>
    <row r="20" spans="1:11" ht="63.95" customHeight="1">
      <c r="A20" s="21" t="s">
        <v>210</v>
      </c>
      <c r="B20" s="21" t="s">
        <v>166</v>
      </c>
      <c r="C20" s="22" t="s">
        <v>211</v>
      </c>
      <c r="D20" s="22" t="s">
        <v>212</v>
      </c>
      <c r="E20" s="21" t="s">
        <v>132</v>
      </c>
      <c r="F20" s="22" t="s">
        <v>213</v>
      </c>
      <c r="G20" s="23"/>
      <c r="H20" s="25"/>
      <c r="I20" s="25" t="s">
        <v>152</v>
      </c>
      <c r="J20" s="23"/>
      <c r="K20" s="23"/>
    </row>
    <row r="21" spans="1:11" ht="63.95" customHeight="1">
      <c r="A21" s="21" t="s">
        <v>214</v>
      </c>
      <c r="B21" s="21" t="s">
        <v>166</v>
      </c>
      <c r="C21" s="22" t="s">
        <v>215</v>
      </c>
      <c r="D21" s="22" t="s">
        <v>216</v>
      </c>
      <c r="E21" s="21" t="s">
        <v>132</v>
      </c>
      <c r="F21" s="22" t="s">
        <v>217</v>
      </c>
      <c r="G21" s="23"/>
      <c r="H21" s="25"/>
      <c r="I21" s="25" t="s">
        <v>152</v>
      </c>
      <c r="J21" s="23"/>
      <c r="K21" s="23"/>
    </row>
    <row r="22" spans="1:11" ht="63.95" customHeight="1">
      <c r="A22" s="21" t="s">
        <v>218</v>
      </c>
      <c r="B22" s="21" t="s">
        <v>166</v>
      </c>
      <c r="C22" s="22" t="s">
        <v>219</v>
      </c>
      <c r="D22" s="22" t="s">
        <v>220</v>
      </c>
      <c r="E22" s="21" t="s">
        <v>132</v>
      </c>
      <c r="F22" s="22" t="s">
        <v>221</v>
      </c>
      <c r="G22" s="23"/>
      <c r="H22" s="25"/>
      <c r="I22" s="25" t="s">
        <v>152</v>
      </c>
      <c r="J22" s="23"/>
      <c r="K22" s="23"/>
    </row>
    <row r="23" spans="1:11" ht="63.95" customHeight="1">
      <c r="A23" s="21" t="s">
        <v>222</v>
      </c>
      <c r="B23" s="21" t="s">
        <v>166</v>
      </c>
      <c r="C23" s="22" t="s">
        <v>223</v>
      </c>
      <c r="D23" s="22" t="s">
        <v>224</v>
      </c>
      <c r="E23" s="21" t="s">
        <v>132</v>
      </c>
      <c r="F23" s="22" t="s">
        <v>225</v>
      </c>
      <c r="G23" s="23"/>
      <c r="H23" s="25"/>
      <c r="I23" s="25" t="s">
        <v>152</v>
      </c>
      <c r="J23" s="23"/>
      <c r="K23" s="23"/>
    </row>
    <row r="24" spans="1:11" ht="63.95" customHeight="1">
      <c r="A24" s="21" t="s">
        <v>226</v>
      </c>
      <c r="B24" s="21" t="s">
        <v>166</v>
      </c>
      <c r="C24" s="22" t="s">
        <v>227</v>
      </c>
      <c r="D24" s="22" t="s">
        <v>228</v>
      </c>
      <c r="E24" s="21" t="s">
        <v>132</v>
      </c>
      <c r="F24" s="22" t="s">
        <v>229</v>
      </c>
      <c r="G24" s="23"/>
      <c r="H24" s="25"/>
      <c r="I24" s="25" t="s">
        <v>152</v>
      </c>
      <c r="J24" s="23"/>
      <c r="K24" s="23"/>
    </row>
    <row r="25" spans="1:11" ht="63.95" customHeight="1">
      <c r="A25" s="21" t="s">
        <v>230</v>
      </c>
      <c r="B25" s="21" t="s">
        <v>166</v>
      </c>
      <c r="C25" s="22" t="s">
        <v>231</v>
      </c>
      <c r="D25" s="22" t="s">
        <v>232</v>
      </c>
      <c r="E25" s="21" t="s">
        <v>136</v>
      </c>
      <c r="F25" s="22" t="s">
        <v>233</v>
      </c>
      <c r="G25" s="23"/>
      <c r="H25" s="25"/>
      <c r="I25" s="25" t="s">
        <v>152</v>
      </c>
      <c r="J25" s="23"/>
      <c r="K25" s="23"/>
    </row>
    <row r="26" spans="1:11" ht="63.95" customHeight="1">
      <c r="A26" s="21" t="s">
        <v>234</v>
      </c>
      <c r="B26" s="21" t="s">
        <v>166</v>
      </c>
      <c r="C26" s="22" t="s">
        <v>235</v>
      </c>
      <c r="D26" s="22" t="s">
        <v>236</v>
      </c>
      <c r="E26" s="21" t="s">
        <v>88</v>
      </c>
      <c r="F26" s="22" t="s">
        <v>237</v>
      </c>
      <c r="G26" s="23"/>
      <c r="H26" s="25"/>
      <c r="I26" s="25" t="s">
        <v>152</v>
      </c>
      <c r="J26" s="23"/>
      <c r="K26" s="23"/>
    </row>
    <row r="27" spans="1:11" ht="63.95" customHeight="1">
      <c r="A27" s="21" t="s">
        <v>238</v>
      </c>
      <c r="B27" s="21" t="s">
        <v>166</v>
      </c>
      <c r="C27" s="22" t="s">
        <v>239</v>
      </c>
      <c r="D27" s="22" t="s">
        <v>240</v>
      </c>
      <c r="E27" s="21" t="s">
        <v>143</v>
      </c>
      <c r="F27" s="22" t="s">
        <v>241</v>
      </c>
      <c r="G27" s="23"/>
      <c r="H27" s="25"/>
      <c r="I27" s="25" t="s">
        <v>152</v>
      </c>
      <c r="J27" s="23"/>
      <c r="K27" s="23"/>
    </row>
    <row r="28" spans="1:11" ht="56.1" customHeight="1">
      <c r="A28" s="11"/>
      <c r="B28" s="11"/>
      <c r="C28" s="12"/>
      <c r="D28" s="12"/>
      <c r="E28" s="11"/>
      <c r="F28" s="12"/>
      <c r="G28" s="3"/>
      <c r="H28" s="13"/>
      <c r="I28" s="13"/>
      <c r="J28" s="3"/>
      <c r="K28" s="3"/>
    </row>
    <row r="29" spans="1:11" ht="56.1" customHeight="1">
      <c r="A29" s="11"/>
      <c r="B29" s="11"/>
      <c r="C29" s="12"/>
      <c r="D29" s="12"/>
      <c r="E29" s="11"/>
      <c r="F29" s="12"/>
      <c r="G29" s="3"/>
      <c r="H29" s="13"/>
      <c r="I29" s="13"/>
      <c r="J29" s="3"/>
      <c r="K29" s="3"/>
    </row>
    <row r="30" spans="1:11" ht="56.1" customHeight="1">
      <c r="A30" s="11"/>
      <c r="B30" s="11"/>
      <c r="C30" s="12"/>
      <c r="D30" s="12"/>
      <c r="E30" s="11"/>
      <c r="F30" s="12"/>
      <c r="G30" s="3"/>
      <c r="H30" s="13"/>
      <c r="I30" s="13"/>
      <c r="J30" s="3"/>
      <c r="K30" s="3"/>
    </row>
    <row r="31" spans="1:11" ht="56.1" customHeight="1">
      <c r="A31" s="11"/>
      <c r="B31" s="11"/>
      <c r="C31" s="12"/>
      <c r="D31" s="12"/>
      <c r="E31" s="11"/>
      <c r="F31" s="12"/>
      <c r="G31" s="3"/>
      <c r="H31" s="13"/>
      <c r="I31" s="13"/>
      <c r="J31" s="3"/>
      <c r="K31" s="3"/>
    </row>
    <row r="32" spans="1:11" ht="56.1" customHeight="1">
      <c r="A32" s="11"/>
      <c r="B32" s="11"/>
      <c r="C32" s="12"/>
      <c r="D32" s="12"/>
      <c r="E32" s="11"/>
      <c r="F32" s="12"/>
      <c r="G32" s="3"/>
      <c r="H32" s="13"/>
      <c r="I32" s="13"/>
      <c r="J32" s="3"/>
      <c r="K32" s="3"/>
    </row>
    <row r="33" spans="1:11" ht="56.1" customHeight="1">
      <c r="A33" s="11"/>
      <c r="B33" s="11"/>
      <c r="C33" s="12"/>
      <c r="D33" s="12"/>
      <c r="E33" s="11"/>
      <c r="F33" s="12"/>
      <c r="G33" s="3"/>
      <c r="H33" s="13"/>
      <c r="I33" s="13"/>
      <c r="J33" s="3"/>
      <c r="K33" s="3"/>
    </row>
    <row r="34" spans="1:11" ht="56.1" customHeight="1">
      <c r="A34" s="11"/>
      <c r="B34" s="11"/>
      <c r="C34" s="12"/>
      <c r="D34" s="12"/>
      <c r="E34" s="11"/>
      <c r="F34" s="12"/>
      <c r="G34" s="3"/>
      <c r="H34" s="13"/>
      <c r="I34" s="13"/>
      <c r="J34" s="3"/>
      <c r="K34" s="3"/>
    </row>
    <row r="35" spans="1:11" ht="56.1" customHeight="1">
      <c r="A35" s="11"/>
      <c r="B35" s="11"/>
      <c r="C35" s="12"/>
      <c r="D35" s="12"/>
      <c r="E35" s="11"/>
      <c r="F35" s="12"/>
      <c r="G35" s="3"/>
      <c r="H35" s="13"/>
      <c r="I35" s="13"/>
      <c r="J35" s="3"/>
      <c r="K35" s="3"/>
    </row>
    <row r="36" spans="1:11" ht="56.1" customHeight="1">
      <c r="A36" s="11"/>
      <c r="B36" s="11"/>
      <c r="C36" s="12"/>
      <c r="D36" s="12"/>
      <c r="E36" s="11"/>
      <c r="F36" s="12"/>
      <c r="G36" s="3"/>
      <c r="H36" s="13"/>
      <c r="I36" s="13"/>
      <c r="J36" s="3"/>
      <c r="K36" s="3"/>
    </row>
    <row r="37" spans="1:11" ht="56.1" customHeight="1">
      <c r="A37" s="11"/>
      <c r="B37" s="11"/>
      <c r="C37" s="12"/>
      <c r="D37" s="12"/>
      <c r="E37" s="11"/>
      <c r="F37" s="12"/>
      <c r="G37" s="3"/>
      <c r="H37" s="13"/>
      <c r="I37" s="13"/>
      <c r="J37" s="3"/>
      <c r="K37" s="3"/>
    </row>
    <row r="38" spans="1:11" ht="56.1" customHeight="1">
      <c r="A38" s="11"/>
      <c r="B38" s="11"/>
      <c r="C38" s="12"/>
      <c r="D38" s="12"/>
      <c r="E38" s="11"/>
      <c r="F38" s="12"/>
      <c r="G38" s="3"/>
      <c r="H38" s="13"/>
      <c r="I38" s="13"/>
      <c r="J38" s="3"/>
      <c r="K38" s="3"/>
    </row>
    <row r="39" spans="1:11" ht="56.1" customHeight="1">
      <c r="A39" s="11"/>
      <c r="B39" s="11"/>
      <c r="C39" s="12"/>
      <c r="D39" s="12"/>
      <c r="E39" s="11"/>
      <c r="F39" s="12"/>
      <c r="G39" s="3"/>
      <c r="H39" s="13"/>
      <c r="I39" s="13"/>
      <c r="J39" s="3"/>
      <c r="K39" s="3"/>
    </row>
    <row r="40" spans="1:11" ht="56.1" customHeight="1">
      <c r="A40" s="11"/>
      <c r="B40" s="11"/>
      <c r="C40" s="12"/>
      <c r="D40" s="12"/>
      <c r="E40" s="11"/>
      <c r="F40" s="12"/>
      <c r="G40" s="3"/>
      <c r="H40" s="13"/>
      <c r="I40" s="13"/>
      <c r="J40" s="3"/>
      <c r="K40" s="3"/>
    </row>
    <row r="41" spans="1:11" ht="56.1" customHeight="1">
      <c r="A41" s="11"/>
      <c r="B41" s="11"/>
      <c r="C41" s="12"/>
      <c r="D41" s="12"/>
      <c r="E41" s="11"/>
      <c r="F41" s="12"/>
      <c r="G41" s="3"/>
      <c r="H41" s="13"/>
      <c r="I41" s="13"/>
      <c r="J41" s="3"/>
      <c r="K41" s="3"/>
    </row>
    <row r="42" spans="1:11" ht="56.1" customHeight="1">
      <c r="A42" s="11"/>
      <c r="B42" s="11"/>
      <c r="C42" s="12"/>
      <c r="D42" s="12"/>
      <c r="E42" s="11"/>
      <c r="F42" s="12"/>
      <c r="G42" s="3"/>
      <c r="H42" s="13"/>
      <c r="I42" s="13"/>
      <c r="J42" s="3"/>
      <c r="K42" s="3"/>
    </row>
    <row r="43" spans="1:11" ht="56.1" customHeight="1">
      <c r="A43" s="11"/>
      <c r="B43" s="11"/>
      <c r="C43" s="12"/>
      <c r="D43" s="12"/>
      <c r="E43" s="11"/>
      <c r="F43" s="12"/>
      <c r="G43" s="3"/>
      <c r="H43" s="13"/>
      <c r="I43" s="13"/>
      <c r="J43" s="3"/>
      <c r="K43" s="3"/>
    </row>
    <row r="44" spans="1:11" ht="56.1" customHeight="1">
      <c r="A44" s="11"/>
      <c r="B44" s="11"/>
      <c r="C44" s="12"/>
      <c r="D44" s="12"/>
      <c r="E44" s="11"/>
      <c r="F44" s="12"/>
      <c r="G44" s="3"/>
      <c r="H44" s="13"/>
      <c r="I44" s="13"/>
      <c r="J44" s="3"/>
      <c r="K44" s="3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</sheetData>
  <mergeCells count="2">
    <mergeCell ref="A1:K2"/>
    <mergeCell ref="A3:K3"/>
  </mergeCells>
  <conditionalFormatting sqref="B8:B44">
    <cfRule type="expression" dxfId="7" priority="1">
      <formula>B8="Eingabe"</formula>
    </cfRule>
    <cfRule type="expression" dxfId="6" priority="2">
      <formula>B8="Ausgabe"</formula>
    </cfRule>
    <cfRule type="expression" dxfId="5" priority="3">
      <formula>B8="Eingabe / Ausgabe"</formula>
    </cfRule>
  </conditionalFormatting>
  <conditionalFormatting sqref="I8:I44">
    <cfRule type="expression" dxfId="4" priority="4">
      <formula>I8="Geprüft"</formula>
    </cfRule>
    <cfRule type="expression" dxfId="3" priority="5">
      <formula>I8="Freigegeben"</formula>
    </cfRule>
    <cfRule type="expression" dxfId="2" priority="6">
      <formula>I8="Nicht vorgelegt"</formula>
    </cfRule>
  </conditionalFormatting>
  <dataValidations count="1">
    <dataValidation type="list" sqref="I8:I44" xr:uid="{00000000-0002-0000-0200-000000000000}">
      <formula1>"Nicht vorgelegt,Vorgelegt,In Prüfung,Geprüft,Freigegeben,Nicht anwendbar"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workbookViewId="0">
      <selection activeCell="C16" sqref="C16"/>
    </sheetView>
  </sheetViews>
  <sheetFormatPr baseColWidth="10" defaultColWidth="9" defaultRowHeight="14.25"/>
  <cols>
    <col min="1" max="1" width="10" customWidth="1"/>
    <col min="2" max="2" width="8" customWidth="1"/>
    <col min="3" max="3" width="58" customWidth="1"/>
    <col min="4" max="4" width="18" customWidth="1"/>
    <col min="5" max="5" width="22" customWidth="1"/>
    <col min="6" max="6" width="14" customWidth="1"/>
    <col min="7" max="7" width="20" customWidth="1"/>
  </cols>
  <sheetData>
    <row r="1" spans="1:7" ht="33.950000000000003" customHeight="1">
      <c r="A1" s="28" t="s">
        <v>31</v>
      </c>
      <c r="B1" s="28" t="s">
        <v>31</v>
      </c>
      <c r="C1" s="28" t="s">
        <v>31</v>
      </c>
      <c r="D1" s="28" t="s">
        <v>31</v>
      </c>
      <c r="E1" s="28" t="s">
        <v>31</v>
      </c>
      <c r="F1" s="28" t="s">
        <v>31</v>
      </c>
      <c r="G1" s="28" t="s">
        <v>31</v>
      </c>
    </row>
    <row r="2" spans="1:7" ht="33.950000000000003" customHeight="1">
      <c r="A2" s="28" t="s">
        <v>31</v>
      </c>
      <c r="B2" s="28" t="s">
        <v>31</v>
      </c>
      <c r="C2" s="28" t="s">
        <v>31</v>
      </c>
      <c r="D2" s="28" t="s">
        <v>31</v>
      </c>
      <c r="E2" s="28" t="s">
        <v>31</v>
      </c>
      <c r="F2" s="28" t="s">
        <v>31</v>
      </c>
      <c r="G2" s="28" t="s">
        <v>31</v>
      </c>
    </row>
    <row r="3" spans="1:7">
      <c r="A3" s="37" t="s">
        <v>32</v>
      </c>
      <c r="B3" s="37"/>
      <c r="C3" s="37"/>
      <c r="D3" s="37"/>
      <c r="E3" s="37"/>
      <c r="F3" s="37"/>
      <c r="G3" s="37"/>
    </row>
    <row r="4" spans="1:7">
      <c r="A4" s="1"/>
      <c r="B4" s="1"/>
      <c r="C4" s="1"/>
      <c r="D4" s="1"/>
      <c r="E4" s="1"/>
      <c r="F4" s="1"/>
      <c r="G4" s="1"/>
    </row>
    <row r="5" spans="1:7">
      <c r="A5" s="10" t="s">
        <v>33</v>
      </c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</row>
    <row r="6" spans="1:7" ht="33.950000000000003" customHeight="1">
      <c r="A6" s="10" t="s">
        <v>40</v>
      </c>
      <c r="B6" s="3"/>
      <c r="C6" s="3"/>
      <c r="D6" s="3"/>
      <c r="E6" s="3"/>
      <c r="F6" s="4"/>
      <c r="G6" s="3" t="s">
        <v>41</v>
      </c>
    </row>
    <row r="7" spans="1:7" ht="33.950000000000003" customHeight="1">
      <c r="A7" s="10" t="s">
        <v>42</v>
      </c>
      <c r="B7" s="3"/>
      <c r="C7" s="3"/>
      <c r="D7" s="3"/>
      <c r="E7" s="3"/>
      <c r="F7" s="4"/>
      <c r="G7" s="3" t="s">
        <v>41</v>
      </c>
    </row>
    <row r="8" spans="1:7" ht="33.950000000000003" customHeight="1">
      <c r="A8" s="10" t="s">
        <v>43</v>
      </c>
      <c r="B8" s="3"/>
      <c r="C8" s="3"/>
      <c r="D8" s="3"/>
      <c r="E8" s="3"/>
      <c r="F8" s="4"/>
      <c r="G8" s="3" t="s">
        <v>41</v>
      </c>
    </row>
    <row r="9" spans="1:7" ht="33.950000000000003" customHeight="1">
      <c r="A9" s="10" t="s">
        <v>44</v>
      </c>
      <c r="B9" s="3"/>
      <c r="C9" s="3"/>
      <c r="D9" s="3"/>
      <c r="E9" s="3"/>
      <c r="F9" s="4"/>
      <c r="G9" s="3" t="s">
        <v>41</v>
      </c>
    </row>
    <row r="10" spans="1:7" ht="33.950000000000003" customHeight="1">
      <c r="A10" s="10" t="s">
        <v>45</v>
      </c>
      <c r="B10" s="3"/>
      <c r="C10" s="3"/>
      <c r="D10" s="3"/>
      <c r="E10" s="3"/>
      <c r="F10" s="4"/>
      <c r="G10" s="3" t="s">
        <v>41</v>
      </c>
    </row>
    <row r="11" spans="1:7" ht="33.950000000000003" customHeight="1">
      <c r="A11" s="10" t="s">
        <v>46</v>
      </c>
      <c r="B11" s="3"/>
      <c r="C11" s="3"/>
      <c r="D11" s="3"/>
      <c r="E11" s="3"/>
      <c r="F11" s="4"/>
      <c r="G11" s="3" t="s">
        <v>41</v>
      </c>
    </row>
    <row r="12" spans="1:7" ht="33.950000000000003" customHeight="1">
      <c r="A12" s="10" t="s">
        <v>47</v>
      </c>
      <c r="B12" s="3"/>
      <c r="C12" s="3"/>
      <c r="D12" s="3"/>
      <c r="E12" s="3"/>
      <c r="F12" s="4"/>
      <c r="G12" s="3" t="s">
        <v>41</v>
      </c>
    </row>
    <row r="13" spans="1:7" ht="33.950000000000003" customHeight="1">
      <c r="A13" s="10" t="s">
        <v>48</v>
      </c>
      <c r="B13" s="3"/>
      <c r="C13" s="3"/>
      <c r="D13" s="3"/>
      <c r="E13" s="3"/>
      <c r="F13" s="4"/>
      <c r="G13" s="3" t="s">
        <v>41</v>
      </c>
    </row>
    <row r="14" spans="1:7" ht="33.950000000000003" customHeight="1">
      <c r="A14" s="10" t="s">
        <v>49</v>
      </c>
      <c r="B14" s="3"/>
      <c r="C14" s="3"/>
      <c r="D14" s="3"/>
      <c r="E14" s="3"/>
      <c r="F14" s="4"/>
      <c r="G14" s="3" t="s">
        <v>41</v>
      </c>
    </row>
    <row r="15" spans="1:7" ht="33.950000000000003" customHeight="1">
      <c r="A15" s="10" t="s">
        <v>50</v>
      </c>
      <c r="B15" s="3"/>
      <c r="C15" s="3"/>
      <c r="D15" s="3"/>
      <c r="E15" s="3"/>
      <c r="F15" s="4"/>
      <c r="G15" s="3" t="s">
        <v>41</v>
      </c>
    </row>
    <row r="16" spans="1:7" ht="33.950000000000003" customHeight="1">
      <c r="A16" s="10" t="s">
        <v>51</v>
      </c>
      <c r="B16" s="3"/>
      <c r="C16" s="3"/>
      <c r="D16" s="3"/>
      <c r="E16" s="3"/>
      <c r="F16" s="4"/>
      <c r="G16" s="3" t="s">
        <v>41</v>
      </c>
    </row>
    <row r="17" spans="1:7" ht="33.950000000000003" customHeight="1">
      <c r="A17" s="10" t="s">
        <v>52</v>
      </c>
      <c r="B17" s="3"/>
      <c r="C17" s="3"/>
      <c r="D17" s="3"/>
      <c r="E17" s="3"/>
      <c r="F17" s="4"/>
      <c r="G17" s="3" t="s">
        <v>41</v>
      </c>
    </row>
    <row r="18" spans="1:7" ht="33.950000000000003" customHeight="1">
      <c r="A18" s="10" t="s">
        <v>53</v>
      </c>
      <c r="B18" s="3"/>
      <c r="C18" s="3"/>
      <c r="D18" s="3"/>
      <c r="E18" s="3"/>
      <c r="F18" s="4"/>
      <c r="G18" s="3" t="s">
        <v>41</v>
      </c>
    </row>
    <row r="19" spans="1:7" ht="33.950000000000003" customHeight="1">
      <c r="A19" s="10" t="s">
        <v>54</v>
      </c>
      <c r="B19" s="3"/>
      <c r="C19" s="3"/>
      <c r="D19" s="3"/>
      <c r="E19" s="3"/>
      <c r="F19" s="4"/>
      <c r="G19" s="3" t="s">
        <v>41</v>
      </c>
    </row>
    <row r="20" spans="1:7" ht="33.950000000000003" customHeight="1">
      <c r="A20" s="10" t="s">
        <v>55</v>
      </c>
      <c r="B20" s="3"/>
      <c r="C20" s="3"/>
      <c r="D20" s="3"/>
      <c r="E20" s="3"/>
      <c r="F20" s="4"/>
      <c r="G20" s="3" t="s">
        <v>41</v>
      </c>
    </row>
    <row r="21" spans="1:7" ht="33.950000000000003" customHeight="1">
      <c r="A21" s="10" t="s">
        <v>56</v>
      </c>
      <c r="B21" s="3"/>
      <c r="C21" s="3"/>
      <c r="D21" s="3"/>
      <c r="E21" s="3"/>
      <c r="F21" s="4"/>
      <c r="G21" s="3" t="s">
        <v>41</v>
      </c>
    </row>
    <row r="22" spans="1:7" ht="33.950000000000003" customHeight="1">
      <c r="A22" s="10" t="s">
        <v>57</v>
      </c>
      <c r="B22" s="3"/>
      <c r="C22" s="3"/>
      <c r="D22" s="3"/>
      <c r="E22" s="3"/>
      <c r="F22" s="4"/>
      <c r="G22" s="3" t="s">
        <v>41</v>
      </c>
    </row>
    <row r="23" spans="1:7" ht="33.950000000000003" customHeight="1">
      <c r="A23" s="10" t="s">
        <v>58</v>
      </c>
      <c r="B23" s="3"/>
      <c r="C23" s="3"/>
      <c r="D23" s="3"/>
      <c r="E23" s="3"/>
      <c r="F23" s="4"/>
      <c r="G23" s="3" t="s">
        <v>41</v>
      </c>
    </row>
    <row r="24" spans="1:7" ht="33.950000000000003" customHeight="1">
      <c r="A24" s="10" t="s">
        <v>59</v>
      </c>
      <c r="B24" s="3"/>
      <c r="C24" s="3"/>
      <c r="D24" s="3"/>
      <c r="E24" s="3"/>
      <c r="F24" s="4"/>
      <c r="G24" s="3" t="s">
        <v>41</v>
      </c>
    </row>
    <row r="25" spans="1:7" ht="33.950000000000003" customHeight="1">
      <c r="A25" s="10" t="s">
        <v>60</v>
      </c>
      <c r="B25" s="3"/>
      <c r="C25" s="3"/>
      <c r="D25" s="3"/>
      <c r="E25" s="3"/>
      <c r="F25" s="4"/>
      <c r="G25" s="3" t="s">
        <v>41</v>
      </c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mergeCells count="2">
    <mergeCell ref="A1:G2"/>
    <mergeCell ref="A3:G3"/>
  </mergeCells>
  <conditionalFormatting sqref="G6:G25">
    <cfRule type="expression" dxfId="1" priority="1">
      <formula>G6="Erledigt"</formula>
    </cfRule>
    <cfRule type="expression" dxfId="0" priority="2">
      <formula>G6="Offen"</formula>
    </cfRule>
  </conditionalFormatting>
  <dataValidations count="2">
    <dataValidation type="list" sqref="B6:B25" xr:uid="{00000000-0002-0000-0300-000000000000}">
      <formula1>"A,I,B"</formula1>
    </dataValidation>
    <dataValidation type="list" sqref="G6:G25" xr:uid="{00000000-0002-0000-0300-000001000000}">
      <formula1>"Offen,In Bearbeitung,Erledigt,Zurückgestellt"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showGridLines="0" tabSelected="1" topLeftCell="A2" workbookViewId="0">
      <selection activeCell="D7" sqref="D7"/>
    </sheetView>
  </sheetViews>
  <sheetFormatPr baseColWidth="10" defaultColWidth="9" defaultRowHeight="14.25"/>
  <cols>
    <col min="1" max="1" width="14" customWidth="1"/>
    <col min="2" max="2" width="42" customWidth="1"/>
    <col min="3" max="3" width="48" customWidth="1"/>
    <col min="4" max="4" width="38" customWidth="1"/>
  </cols>
  <sheetData>
    <row r="1" spans="1:4" ht="33.950000000000003" customHeight="1">
      <c r="A1" s="28" t="s">
        <v>61</v>
      </c>
      <c r="B1" s="28" t="s">
        <v>61</v>
      </c>
      <c r="C1" s="28" t="s">
        <v>61</v>
      </c>
      <c r="D1" s="28" t="s">
        <v>61</v>
      </c>
    </row>
    <row r="2" spans="1:4" ht="33.950000000000003" customHeight="1">
      <c r="A2" s="28" t="s">
        <v>61</v>
      </c>
      <c r="B2" s="28" t="s">
        <v>61</v>
      </c>
      <c r="C2" s="28" t="s">
        <v>61</v>
      </c>
      <c r="D2" s="28" t="s">
        <v>61</v>
      </c>
    </row>
    <row r="3" spans="1:4">
      <c r="A3" s="1"/>
      <c r="B3" s="1"/>
      <c r="C3" s="1"/>
      <c r="D3" s="1"/>
    </row>
    <row r="4" spans="1:4" ht="24" customHeight="1">
      <c r="A4" s="29" t="s">
        <v>62</v>
      </c>
      <c r="B4" s="29" t="s">
        <v>62</v>
      </c>
      <c r="C4" s="29" t="s">
        <v>62</v>
      </c>
      <c r="D4" s="29" t="s">
        <v>62</v>
      </c>
    </row>
    <row r="5" spans="1:4">
      <c r="A5" s="15" t="s">
        <v>63</v>
      </c>
      <c r="B5" s="15" t="s">
        <v>64</v>
      </c>
      <c r="C5" s="15" t="s">
        <v>65</v>
      </c>
      <c r="D5" s="15" t="s">
        <v>66</v>
      </c>
    </row>
    <row r="6" spans="1:4" ht="48" customHeight="1">
      <c r="A6" s="27" t="s">
        <v>67</v>
      </c>
      <c r="B6" s="26" t="s">
        <v>68</v>
      </c>
      <c r="C6" s="26" t="s">
        <v>69</v>
      </c>
      <c r="D6" s="26" t="s">
        <v>242</v>
      </c>
    </row>
    <row r="7" spans="1:4" ht="48" customHeight="1">
      <c r="A7" s="27" t="s">
        <v>70</v>
      </c>
      <c r="B7" s="26" t="s">
        <v>71</v>
      </c>
      <c r="C7" s="26" t="s">
        <v>72</v>
      </c>
      <c r="D7" s="26" t="s">
        <v>242</v>
      </c>
    </row>
    <row r="8" spans="1:4" ht="48" customHeight="1">
      <c r="A8" s="27" t="s">
        <v>73</v>
      </c>
      <c r="B8" s="26" t="s">
        <v>74</v>
      </c>
      <c r="C8" s="26" t="s">
        <v>75</v>
      </c>
      <c r="D8" s="26" t="s">
        <v>242</v>
      </c>
    </row>
    <row r="9" spans="1:4" ht="48" customHeight="1">
      <c r="A9" s="27" t="s">
        <v>76</v>
      </c>
      <c r="B9" s="26" t="s">
        <v>77</v>
      </c>
      <c r="C9" s="26" t="s">
        <v>78</v>
      </c>
      <c r="D9" s="26" t="s">
        <v>242</v>
      </c>
    </row>
    <row r="10" spans="1:4">
      <c r="A10" s="15"/>
      <c r="B10" s="15"/>
      <c r="C10" s="15"/>
      <c r="D10" s="15"/>
    </row>
    <row r="11" spans="1:4" ht="24" customHeight="1">
      <c r="A11" s="29" t="s">
        <v>79</v>
      </c>
      <c r="B11" s="29" t="s">
        <v>79</v>
      </c>
      <c r="C11" s="29" t="s">
        <v>79</v>
      </c>
      <c r="D11" s="29" t="s">
        <v>79</v>
      </c>
    </row>
    <row r="12" spans="1:4">
      <c r="A12" s="15" t="s">
        <v>80</v>
      </c>
      <c r="B12" s="15" t="s">
        <v>81</v>
      </c>
      <c r="C12" s="15" t="s">
        <v>82</v>
      </c>
      <c r="D12" s="15" t="s">
        <v>83</v>
      </c>
    </row>
    <row r="13" spans="1:4" ht="51.95" customHeight="1">
      <c r="A13" s="26" t="s">
        <v>84</v>
      </c>
      <c r="B13" s="26" t="s">
        <v>85</v>
      </c>
      <c r="C13" s="26" t="s">
        <v>86</v>
      </c>
      <c r="D13" s="26" t="s">
        <v>87</v>
      </c>
    </row>
    <row r="14" spans="1:4" ht="51.95" customHeight="1">
      <c r="A14" s="26" t="s">
        <v>243</v>
      </c>
      <c r="B14" s="26" t="s">
        <v>244</v>
      </c>
      <c r="C14" s="26"/>
      <c r="D14" s="26" t="s">
        <v>245</v>
      </c>
    </row>
    <row r="15" spans="1:4" ht="51.95" customHeight="1">
      <c r="A15" s="26" t="s">
        <v>246</v>
      </c>
      <c r="B15" s="26" t="s">
        <v>247</v>
      </c>
      <c r="C15" s="26"/>
      <c r="D15" s="26" t="s">
        <v>248</v>
      </c>
    </row>
    <row r="16" spans="1:4" ht="51.95" customHeight="1">
      <c r="A16" s="26" t="s">
        <v>249</v>
      </c>
      <c r="B16" s="26" t="s">
        <v>250</v>
      </c>
      <c r="C16" s="26"/>
      <c r="D16" s="26" t="s">
        <v>251</v>
      </c>
    </row>
    <row r="17" spans="1:4" ht="51.95" customHeight="1">
      <c r="A17" s="26" t="s">
        <v>252</v>
      </c>
      <c r="B17" s="26" t="s">
        <v>253</v>
      </c>
      <c r="C17" s="26"/>
      <c r="D17" s="26" t="s">
        <v>254</v>
      </c>
    </row>
    <row r="18" spans="1:4" ht="51.95" customHeight="1">
      <c r="A18" s="15" t="s">
        <v>255</v>
      </c>
      <c r="B18" s="15" t="s">
        <v>256</v>
      </c>
      <c r="C18" s="15"/>
      <c r="D18" s="15" t="s">
        <v>257</v>
      </c>
    </row>
    <row r="19" spans="1:4" ht="51.95" customHeight="1">
      <c r="A19" s="15" t="s">
        <v>88</v>
      </c>
      <c r="B19" s="15" t="s">
        <v>89</v>
      </c>
      <c r="C19" s="15" t="s">
        <v>90</v>
      </c>
      <c r="D19" s="15" t="s">
        <v>91</v>
      </c>
    </row>
    <row r="20" spans="1:4">
      <c r="A20" s="15"/>
      <c r="B20" s="15"/>
      <c r="C20" s="15"/>
      <c r="D20" s="15"/>
    </row>
    <row r="21" spans="1:4">
      <c r="A21" s="30" t="s">
        <v>258</v>
      </c>
      <c r="B21" s="30" t="s">
        <v>92</v>
      </c>
      <c r="C21" s="30" t="s">
        <v>92</v>
      </c>
      <c r="D21" s="30" t="s">
        <v>92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</sheetData>
  <mergeCells count="4">
    <mergeCell ref="A1:D2"/>
    <mergeCell ref="A4:D4"/>
    <mergeCell ref="A11:D11"/>
    <mergeCell ref="A21:D2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showGridLines="0" workbookViewId="0"/>
  </sheetViews>
  <sheetFormatPr baseColWidth="10" defaultColWidth="9" defaultRowHeight="14.25"/>
  <cols>
    <col min="1" max="1" width="52" customWidth="1"/>
    <col min="2" max="2" width="18" customWidth="1"/>
    <col min="3" max="3" width="38" customWidth="1"/>
  </cols>
  <sheetData>
    <row r="1" spans="1:3" ht="33.950000000000003" customHeight="1">
      <c r="A1" s="28" t="s">
        <v>93</v>
      </c>
      <c r="B1" s="28" t="s">
        <v>93</v>
      </c>
      <c r="C1" s="28" t="s">
        <v>93</v>
      </c>
    </row>
    <row r="2" spans="1:3" ht="33.950000000000003" customHeight="1">
      <c r="A2" s="28" t="s">
        <v>93</v>
      </c>
      <c r="B2" s="28" t="s">
        <v>93</v>
      </c>
      <c r="C2" s="28" t="s">
        <v>93</v>
      </c>
    </row>
    <row r="3" spans="1:3">
      <c r="A3" s="1"/>
      <c r="B3" s="1"/>
      <c r="C3" s="1"/>
    </row>
    <row r="4" spans="1:3">
      <c r="A4" s="10" t="s">
        <v>94</v>
      </c>
      <c r="B4" s="10" t="s">
        <v>95</v>
      </c>
      <c r="C4" s="10" t="s">
        <v>96</v>
      </c>
    </row>
    <row r="5" spans="1:3" ht="48" customHeight="1">
      <c r="A5" s="3"/>
      <c r="B5" s="4"/>
      <c r="C5" s="3"/>
    </row>
    <row r="6" spans="1:3" ht="48" customHeight="1">
      <c r="A6" s="3"/>
      <c r="B6" s="4"/>
      <c r="C6" s="3"/>
    </row>
    <row r="7" spans="1:3" ht="48" customHeight="1">
      <c r="A7" s="3"/>
      <c r="B7" s="4"/>
      <c r="C7" s="3"/>
    </row>
    <row r="8" spans="1:3" ht="48" customHeight="1">
      <c r="A8" s="3"/>
      <c r="B8" s="4"/>
      <c r="C8" s="3"/>
    </row>
    <row r="9" spans="1:3" ht="48" customHeight="1">
      <c r="A9" s="3"/>
      <c r="B9" s="4"/>
      <c r="C9" s="3"/>
    </row>
    <row r="10" spans="1:3" ht="48" customHeight="1">
      <c r="A10" s="3"/>
      <c r="B10" s="4"/>
      <c r="C10" s="3"/>
    </row>
    <row r="11" spans="1:3" ht="48" customHeight="1">
      <c r="A11" s="3"/>
      <c r="B11" s="4"/>
      <c r="C11" s="3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workbookViewId="0"/>
  </sheetViews>
  <sheetFormatPr baseColWidth="10" defaultColWidth="9" defaultRowHeight="14.25"/>
  <cols>
    <col min="1" max="1" width="8" customWidth="1"/>
    <col min="2" max="2" width="36" customWidth="1"/>
    <col min="3" max="3" width="34" customWidth="1"/>
    <col min="4" max="6" width="18" customWidth="1"/>
    <col min="7" max="7" width="62" customWidth="1"/>
    <col min="8" max="8" width="38" customWidth="1"/>
  </cols>
  <sheetData>
    <row r="1" spans="1:8" ht="33.950000000000003" customHeight="1">
      <c r="A1" s="38" t="s">
        <v>259</v>
      </c>
      <c r="B1" s="38"/>
      <c r="C1" s="38"/>
      <c r="D1" s="38"/>
      <c r="E1" s="38"/>
      <c r="F1" s="38"/>
      <c r="G1" s="38"/>
      <c r="H1" s="38"/>
    </row>
    <row r="2" spans="1:8" ht="33.950000000000003" customHeight="1">
      <c r="A2" s="38"/>
      <c r="B2" s="38"/>
      <c r="C2" s="38"/>
      <c r="D2" s="38"/>
      <c r="E2" s="38"/>
      <c r="F2" s="38"/>
      <c r="G2" s="38"/>
      <c r="H2" s="38"/>
    </row>
    <row r="3" spans="1:8" ht="24" customHeight="1">
      <c r="A3" s="39" t="s">
        <v>260</v>
      </c>
      <c r="B3" s="39"/>
      <c r="C3" s="39"/>
      <c r="D3" s="39"/>
      <c r="E3" s="39"/>
      <c r="F3" s="39"/>
      <c r="G3" s="39"/>
      <c r="H3" s="39"/>
    </row>
    <row r="4" spans="1:8">
      <c r="A4" s="20"/>
      <c r="B4" s="20"/>
      <c r="C4" s="20"/>
      <c r="D4" s="20"/>
      <c r="E4" s="20"/>
      <c r="F4" s="20"/>
      <c r="G4" s="20"/>
      <c r="H4" s="20"/>
    </row>
    <row r="5" spans="1:8" ht="27.95" customHeight="1">
      <c r="A5" s="40" t="s">
        <v>261</v>
      </c>
      <c r="B5" s="40"/>
      <c r="C5" s="40"/>
      <c r="D5" s="40"/>
      <c r="E5" s="40"/>
      <c r="F5" s="40"/>
      <c r="G5" s="40"/>
      <c r="H5" s="40"/>
    </row>
    <row r="6" spans="1:8" ht="27.95" customHeight="1">
      <c r="A6" s="16" t="s">
        <v>108</v>
      </c>
      <c r="B6" s="16" t="s">
        <v>262</v>
      </c>
      <c r="C6" s="16" t="s">
        <v>263</v>
      </c>
      <c r="D6" s="16" t="s">
        <v>264</v>
      </c>
      <c r="E6" s="16" t="s">
        <v>265</v>
      </c>
      <c r="F6" s="16" t="s">
        <v>266</v>
      </c>
      <c r="G6" s="16" t="s">
        <v>267</v>
      </c>
      <c r="H6" s="16" t="s">
        <v>268</v>
      </c>
    </row>
    <row r="7" spans="1:8" ht="81.95" customHeight="1">
      <c r="A7" s="17" t="s">
        <v>269</v>
      </c>
      <c r="B7" s="18" t="s">
        <v>270</v>
      </c>
      <c r="C7" s="18" t="s">
        <v>271</v>
      </c>
      <c r="D7" s="18" t="s">
        <v>272</v>
      </c>
      <c r="E7" s="18" t="s">
        <v>272</v>
      </c>
      <c r="F7" s="18" t="s">
        <v>273</v>
      </c>
      <c r="G7" s="18" t="s">
        <v>274</v>
      </c>
      <c r="H7" s="19"/>
    </row>
    <row r="8" spans="1:8" ht="81.95" customHeight="1">
      <c r="A8" s="17" t="s">
        <v>275</v>
      </c>
      <c r="B8" s="18" t="s">
        <v>82</v>
      </c>
      <c r="C8" s="18" t="s">
        <v>276</v>
      </c>
      <c r="D8" s="18" t="s">
        <v>272</v>
      </c>
      <c r="E8" s="18" t="s">
        <v>272</v>
      </c>
      <c r="F8" s="18" t="s">
        <v>273</v>
      </c>
      <c r="G8" s="18" t="s">
        <v>277</v>
      </c>
      <c r="H8" s="19"/>
    </row>
    <row r="9" spans="1:8" ht="81.95" customHeight="1">
      <c r="A9" s="17" t="s">
        <v>278</v>
      </c>
      <c r="B9" s="18" t="s">
        <v>279</v>
      </c>
      <c r="C9" s="18" t="s">
        <v>280</v>
      </c>
      <c r="D9" s="18" t="s">
        <v>281</v>
      </c>
      <c r="E9" s="18" t="s">
        <v>281</v>
      </c>
      <c r="F9" s="18" t="s">
        <v>282</v>
      </c>
      <c r="G9" s="18" t="s">
        <v>283</v>
      </c>
      <c r="H9" s="19"/>
    </row>
    <row r="10" spans="1:8" ht="81.95" customHeight="1">
      <c r="A10" s="17" t="s">
        <v>284</v>
      </c>
      <c r="B10" s="18" t="s">
        <v>285</v>
      </c>
      <c r="C10" s="18" t="s">
        <v>286</v>
      </c>
      <c r="D10" s="18" t="s">
        <v>281</v>
      </c>
      <c r="E10" s="18" t="s">
        <v>281</v>
      </c>
      <c r="F10" s="18" t="s">
        <v>282</v>
      </c>
      <c r="G10" s="18" t="s">
        <v>287</v>
      </c>
      <c r="H10" s="19"/>
    </row>
    <row r="11" spans="1:8" ht="81.95" customHeight="1">
      <c r="A11" s="17" t="s">
        <v>288</v>
      </c>
      <c r="B11" s="18" t="s">
        <v>289</v>
      </c>
      <c r="C11" s="18" t="s">
        <v>290</v>
      </c>
      <c r="D11" s="18" t="s">
        <v>291</v>
      </c>
      <c r="E11" s="18" t="s">
        <v>281</v>
      </c>
      <c r="F11" s="18" t="s">
        <v>282</v>
      </c>
      <c r="G11" s="18" t="s">
        <v>292</v>
      </c>
      <c r="H11" s="19"/>
    </row>
    <row r="12" spans="1:8" ht="81.95" customHeight="1">
      <c r="A12" s="17" t="s">
        <v>293</v>
      </c>
      <c r="B12" s="18" t="s">
        <v>294</v>
      </c>
      <c r="C12" s="18" t="s">
        <v>295</v>
      </c>
      <c r="D12" s="18" t="s">
        <v>296</v>
      </c>
      <c r="E12" s="18" t="s">
        <v>296</v>
      </c>
      <c r="F12" s="18" t="s">
        <v>282</v>
      </c>
      <c r="G12" s="18" t="s">
        <v>297</v>
      </c>
      <c r="H12" s="19"/>
    </row>
    <row r="13" spans="1:8" ht="81.95" customHeight="1">
      <c r="A13" s="17" t="s">
        <v>298</v>
      </c>
      <c r="B13" s="18" t="s">
        <v>299</v>
      </c>
      <c r="C13" s="18" t="s">
        <v>300</v>
      </c>
      <c r="D13" s="18" t="s">
        <v>296</v>
      </c>
      <c r="E13" s="18" t="s">
        <v>296</v>
      </c>
      <c r="F13" s="18" t="s">
        <v>301</v>
      </c>
      <c r="G13" s="18" t="s">
        <v>302</v>
      </c>
      <c r="H13" s="19"/>
    </row>
    <row r="14" spans="1:8" ht="81.95" customHeight="1">
      <c r="A14" s="17" t="s">
        <v>303</v>
      </c>
      <c r="B14" s="18" t="s">
        <v>304</v>
      </c>
      <c r="C14" s="18" t="s">
        <v>305</v>
      </c>
      <c r="D14" s="18" t="s">
        <v>291</v>
      </c>
      <c r="E14" s="18" t="s">
        <v>296</v>
      </c>
      <c r="F14" s="18" t="s">
        <v>301</v>
      </c>
      <c r="G14" s="18" t="s">
        <v>306</v>
      </c>
      <c r="H14" s="19"/>
    </row>
    <row r="15" spans="1:8" ht="81.95" customHeight="1">
      <c r="A15" s="17" t="s">
        <v>307</v>
      </c>
      <c r="B15" s="18" t="s">
        <v>308</v>
      </c>
      <c r="C15" s="18" t="s">
        <v>309</v>
      </c>
      <c r="D15" s="18" t="s">
        <v>291</v>
      </c>
      <c r="E15" s="18" t="s">
        <v>291</v>
      </c>
      <c r="F15" s="18" t="s">
        <v>301</v>
      </c>
      <c r="G15" s="18" t="s">
        <v>310</v>
      </c>
      <c r="H15" s="19"/>
    </row>
    <row r="16" spans="1:8">
      <c r="A16" s="20"/>
      <c r="B16" s="20"/>
      <c r="C16" s="20"/>
      <c r="D16" s="20"/>
      <c r="E16" s="20"/>
      <c r="F16" s="20"/>
      <c r="G16" s="20"/>
      <c r="H16" s="20"/>
    </row>
    <row r="17" spans="1:8" ht="30" customHeight="1">
      <c r="A17" s="41" t="s">
        <v>311</v>
      </c>
      <c r="B17" s="41"/>
      <c r="C17" s="41"/>
      <c r="D17" s="41"/>
      <c r="E17" s="41"/>
      <c r="F17" s="41"/>
      <c r="G17" s="41"/>
      <c r="H17" s="41"/>
    </row>
  </sheetData>
  <mergeCells count="4">
    <mergeCell ref="A1:H2"/>
    <mergeCell ref="A3:H3"/>
    <mergeCell ref="A5:H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Übersicht</vt:lpstr>
      <vt:lpstr>Review 7.2</vt:lpstr>
      <vt:lpstr>Eingabe- &amp; Ausgabe</vt:lpstr>
      <vt:lpstr>Maßnahmen</vt:lpstr>
      <vt:lpstr>Legende &amp; Hinweise</vt:lpstr>
      <vt:lpstr>Unterschriften</vt:lpstr>
      <vt:lpstr>Referenzen Teil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Julius</dc:creator>
  <cp:lastModifiedBy>Christian Julius</cp:lastModifiedBy>
  <dcterms:created xsi:type="dcterms:W3CDTF">2026-08-27T19:07:53Z</dcterms:created>
  <dcterms:modified xsi:type="dcterms:W3CDTF">2026-08-27T19:08:20Z</dcterms:modified>
</cp:coreProperties>
</file>