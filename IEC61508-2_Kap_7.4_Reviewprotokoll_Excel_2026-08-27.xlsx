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7d790120824c81" /></Relationships>
</file>

<file path=xl/workbook.xml><?xml version="1.0" encoding="utf-8"?>
<x:workbook xmlns:x="http://schemas.openxmlformats.org/spreadsheetml/2006/main">
  <x:sheets>
    <x:sheet xmlns:r="http://schemas.openxmlformats.org/officeDocument/2006/relationships" name="Übersicht" sheetId="1" r:id="R153dd1a84cdf471b"/>
    <x:sheet xmlns:r="http://schemas.openxmlformats.org/officeDocument/2006/relationships" name="Review 7.4" sheetId="2" r:id="R6ef2be6438d94d4d"/>
    <x:sheet xmlns:r="http://schemas.openxmlformats.org/officeDocument/2006/relationships" name="Eingabe- &amp; Ausgabe" sheetId="3" r:id="Reed28ac044504775"/>
    <x:sheet xmlns:r="http://schemas.openxmlformats.org/officeDocument/2006/relationships" name="Maßnahmen" sheetId="4" r:id="Rc57cd5bf67424417"/>
    <x:sheet xmlns:r="http://schemas.openxmlformats.org/officeDocument/2006/relationships" name="Legende &amp; Hinweise" sheetId="5" r:id="Rfb7f93ca084940ba"/>
    <x:sheet xmlns:r="http://schemas.openxmlformats.org/officeDocument/2006/relationships" name="Unterschriften" sheetId="6" r:id="Re811d26a556e4cf4"/>
    <x:sheet xmlns:r="http://schemas.openxmlformats.org/officeDocument/2006/relationships" name="Referenzen Teil 7" sheetId="7" r:id="Ra5879dc92009436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i/>
      <x:sz val="11"/>
      <x:color rgb="FF17365D"/>
      <x:name val="Carlito"/>
    </x:font>
    <x:font>
      <x:b/>
      <x:sz val="11"/>
      <x:color rgb="FFFFFFFF"/>
      <x:name val="Carlito"/>
    </x:font>
    <x:font>
      <x:sz val="11"/>
      <x:color rgb="FF222222"/>
      <x:name val="Carlito"/>
    </x:font>
    <x:font>
      <x:b/>
      <x:sz val="11"/>
      <x:color rgb="FF17365D"/>
      <x:name val="Carlito"/>
    </x:font>
    <x:font>
      <x:sz val="11"/>
      <x:color rgb="FF17365D"/>
      <x:name val="Carlito"/>
    </x:font>
  </x:fonts>
  <x:fills count="11">
    <x:fill>
      <x:patternFill patternType="none"/>
    </x:fill>
    <x:fill>
      <x:patternFill patternType="gray125"/>
    </x:fill>
    <x:fill>
      <x:patternFill patternType="solid">
        <x:fgColor rgb="FF1D4168"/>
      </x:patternFill>
    </x:fill>
    <x:fill>
      <x:patternFill patternType="solid">
        <x:fgColor rgb="FFE7F1F8"/>
      </x:patternFill>
    </x:fill>
    <x:fill>
      <x:patternFill patternType="solid">
        <x:fgColor rgb="FF275D8C"/>
      </x:patternFill>
    </x:fill>
    <x:fill>
      <x:patternFill patternType="solid">
        <x:fgColor rgb="FFFFFFFF"/>
      </x:patternFill>
    </x:fill>
    <x:fill>
      <x:patternFill patternType="solid">
        <x:fgColor rgb="FFFFF2CC"/>
      </x:patternFill>
    </x:fill>
    <x:fill>
      <x:patternFill patternType="solid">
        <x:fgColor rgb="FF5B9BD5"/>
      </x:patternFill>
    </x:fill>
    <x:fill>
      <x:patternFill patternType="solid">
        <x:fgColor rgb="FF0D6A7D"/>
      </x:patternFill>
    </x:fill>
    <x:fill>
      <x:patternFill patternType="solid">
        <x:fgColor rgb="FFE7E6E6"/>
      </x:patternFill>
    </x:fill>
    <x:fill>
      <x:patternFill patternType="solid">
        <x:fgColor rgb="FFF2F2F2"/>
      </x:patternFill>
    </x:fill>
  </x:fills>
  <x:borders count="3">
    <x:border/>
    <x:border>
      <x:left style="thin">
        <x:color rgb="FFB4C7DC"/>
      </x:left>
      <x:right style="thin">
        <x:color rgb="FFB4C7DC"/>
      </x:right>
      <x:top style="thin">
        <x:color rgb="FFB4C7DC"/>
      </x:top>
      <x:bottom style="thin">
        <x:color rgb="FFB4C7DC"/>
      </x:bottom>
    </x:border>
    <x:border>
      <x:left style="thin">
        <x:color rgb="FFFFFFFF"/>
      </x:left>
      <x:right style="thin">
        <x:color rgb="FFFFFFFF"/>
      </x:right>
      <x:top style="thin">
        <x:color rgb="FFFFFFFF"/>
      </x:top>
      <x:bottom style="thin">
        <x:color rgb="FFFFFFFF"/>
      </x:bottom>
    </x:border>
  </x:borders>
  <x:cellStyleXfs count="1">
    <x:xf numFmtId="0" fontId="0" fillId="0" borderId="0"/>
  </x:cellStyleXfs>
  <x:cellXfs count="5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5" fillId="3"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6" borderId="1" xfId="0" applyNumberFormat="1" applyFont="1" applyFill="1" applyBorder="1"/>
    <x:xf numFmtId="0" fontId="6" fillId="5" borderId="0" xfId="0" applyNumberFormat="1" applyFont="1" applyFill="1" applyBorder="1"/>
    <x:xf numFmtId="0" fontId="6" fillId="5"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2" xfId="0" applyNumberFormat="1" applyFont="1" applyFill="1" applyBorder="1"/>
    <x:xf numFmtId="0" fontId="3" fillId="7" borderId="2" xfId="0" applyNumberFormat="1" applyFont="1" applyFill="1" applyBorder="1" applyAlignment="1">
      <x:alignment horizontal="center"/>
    </x:xf>
    <x:xf numFmtId="0" fontId="5" fillId="3" borderId="0"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200" fontId="5" fillId="3" borderId="1" xfId="0" applyNumberFormat="1" applyFont="1" applyFill="1" applyBorder="1" applyAlignment="1">
      <x:alignment horizontal="center"/>
    </x:xf>
    <x:xf numFmtId="0" fontId="0" fillId="6" borderId="0" xfId="0" applyNumberFormat="1" applyFont="1" applyFill="1" applyBorder="1"/>
    <x:xf numFmtId="0" fontId="0" fillId="6" borderId="1"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3" fillId="2" borderId="0" xfId="0" applyNumberFormat="1" applyFont="1" applyFill="1" applyBorder="1"/>
    <x:xf numFmtId="0" fontId="3" fillId="2" borderId="2" xfId="0" applyNumberFormat="1" applyFont="1" applyFill="1" applyBorder="1"/>
    <x:xf numFmtId="0" fontId="3" fillId="2" borderId="2" xfId="0" applyNumberFormat="1" applyFont="1" applyFill="1" applyBorder="1" applyAlignment="1">
      <x:alignment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4" fillId="9" borderId="1" xfId="0" applyNumberFormat="1" applyFont="1" applyFill="1" applyBorder="1" applyAlignment="1">
      <x:alignment vertical="top" wrapText="1"/>
    </x:xf>
    <x:xf numFmtId="0" fontId="3" fillId="4" borderId="2"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4" fillId="6" borderId="0"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wrapText="1"/>
    </x:xf>
    <x:xf numFmtId="0" fontId="2"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4bb88492b24121" /><Relationship Type="http://schemas.openxmlformats.org/officeDocument/2006/relationships/theme" Target="/xl/theme/theme1.xml" Id="R080549cd65094381" /><Relationship Type="http://schemas.openxmlformats.org/officeDocument/2006/relationships/sharedStrings" Target="/xl/sharedStrings.xml" Id="Rfdd173d4f7bf4a2d" /><Relationship Type="http://schemas.openxmlformats.org/officeDocument/2006/relationships/worksheet" Target="/xl/worksheets/sheet1.xml" Id="R153dd1a84cdf471b" /><Relationship Type="http://schemas.openxmlformats.org/officeDocument/2006/relationships/worksheet" Target="/xl/worksheets/sheet2.xml" Id="R6ef2be6438d94d4d" /><Relationship Type="http://schemas.openxmlformats.org/officeDocument/2006/relationships/worksheet" Target="/xl/worksheets/sheet3.xml" Id="Reed28ac044504775" /><Relationship Type="http://schemas.openxmlformats.org/officeDocument/2006/relationships/worksheet" Target="/xl/worksheets/sheet4.xml" Id="Rc57cd5bf67424417" /><Relationship Type="http://schemas.openxmlformats.org/officeDocument/2006/relationships/worksheet" Target="/xl/worksheets/sheet5.xml" Id="Rfb7f93ca084940ba" /><Relationship Type="http://schemas.openxmlformats.org/officeDocument/2006/relationships/worksheet" Target="/xl/worksheets/sheet6.xml" Id="Re811d26a556e4cf4" /><Relationship Type="http://schemas.openxmlformats.org/officeDocument/2006/relationships/worksheet" Target="/xl/worksheets/sheet7.xml" Id="Ra5879dc92009436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4" hidden="0" customWidth="1"/>
    <x:col min="4" max="4" width="14" hidden="0" customWidth="1"/>
    <x:col min="5" max="5" width="23" hidden="0" customWidth="1"/>
    <x:col min="6" max="6" width="23" hidden="0" customWidth="1"/>
    <x:col min="7" max="7" width="22" hidden="0" customWidth="1"/>
    <x:col min="8" max="8" width="22" hidden="0" customWidth="1"/>
  </x:cols>
  <x:sheetData>
    <x:row r="1" ht="28" customHeight="1">
      <x:c r="A1" s="4" t="str">
        <x:v>Reviewprotokoll IEC 61508-2 – Kapitel 7.4
Entwurf und Entwicklung des E/E/PE-Systems</x:v>
      </x:c>
      <x:c r="B1" s="4"/>
      <x:c r="C1" s="4"/>
      <x:c r="D1" s="4"/>
      <x:c r="E1" s="4"/>
      <x:c r="F1" s="4"/>
      <x:c r="G1" s="4"/>
      <x:c r="H1" s="4"/>
    </x:row>
    <x:row r="2" ht="28" customHeight="1">
      <x:c r="A2" s="4"/>
      <x:c r="B2" s="4"/>
      <x:c r="C2" s="4"/>
      <x:c r="D2" s="4"/>
      <x:c r="E2" s="4"/>
      <x:c r="F2" s="4"/>
      <x:c r="G2" s="4"/>
      <x:c r="H2" s="4"/>
    </x:row>
    <x:row r="3" ht="24" customHeight="1">
      <x:c r="A3" s="8" t="str">
        <x:v>Strukturierte Arbeitsmappe für SIL 1 bis SIL 3 · Eingabefelder sind gelb markiert</x:v>
      </x:c>
      <x:c r="B3" s="8"/>
      <x:c r="C3" s="8"/>
      <x:c r="D3" s="8"/>
      <x:c r="E3" s="8"/>
      <x:c r="F3" s="8"/>
      <x:c r="G3" s="8"/>
      <x:c r="H3" s="8"/>
    </x:row>
    <x:row r="5">
      <x:c r="A5" s="12" t="str">
        <x:v>Reviewdaten</x:v>
      </x:c>
      <x:c r="B5" s="12"/>
      <x:c r="C5" s="12"/>
      <x:c r="D5" s="12"/>
      <x:c r="E5" s="12"/>
      <x:c r="F5" s="12"/>
      <x:c r="G5" s="12"/>
      <x:c r="H5" s="12"/>
    </x:row>
    <x:row r="6">
      <x:c r="A6" s="19" t="str">
        <x:v>Projekt / Teilprojekt</x:v>
      </x:c>
      <x:c r="B6" s="20" t="str"/>
      <x:c r="C6" s="20" t="str"/>
      <x:c r="D6" s="20" t="str"/>
      <x:c r="E6" s="19" t="str">
        <x:v>Review-Gegenstand</x:v>
      </x:c>
      <x:c r="F6" s="20" t="str"/>
      <x:c r="G6" s="20" t="str"/>
      <x:c r="H6" s="20" t="str"/>
    </x:row>
    <x:row r="7">
      <x:c r="A7" s="19" t="str">
        <x:v>Dokument / Referenz</x:v>
      </x:c>
      <x:c r="B7" s="20" t="str"/>
      <x:c r="C7" s="20" t="str"/>
      <x:c r="D7" s="20" t="str"/>
      <x:c r="E7" s="19" t="str">
        <x:v>Index</x:v>
      </x:c>
      <x:c r="F7" s="20" t="str"/>
      <x:c r="G7" s="20" t="str"/>
      <x:c r="H7" s="20" t="str"/>
    </x:row>
    <x:row r="8">
      <x:c r="A8" s="19" t="str">
        <x:v>SIL</x:v>
      </x:c>
      <x:c r="B8" s="20" t="str"/>
      <x:c r="C8" s="20" t="str"/>
      <x:c r="D8" s="20" t="str"/>
      <x:c r="E8" s="19" t="str">
        <x:v>Checkliste</x:v>
      </x:c>
      <x:c r="F8" s="20" t="str">
        <x:v>IEC 61508-2: Kapitel 7.4 Entwurf und Entwicklung des E/E/PE-Systems</x:v>
      </x:c>
      <x:c r="G8" s="20" t="str"/>
      <x:c r="H8" s="20" t="str"/>
    </x:row>
    <x:row r="9">
      <x:c r="A9" s="19" t="str">
        <x:v>Ort</x:v>
      </x:c>
      <x:c r="B9" s="20" t="str"/>
      <x:c r="C9" s="20" t="str"/>
      <x:c r="D9" s="20" t="str"/>
      <x:c r="E9" s="19" t="str">
        <x:v>Datum / Zeitraum</x:v>
      </x:c>
      <x:c r="F9" s="20" t="str"/>
      <x:c r="G9" s="20" t="str"/>
      <x:c r="H9" s="20" t="str"/>
    </x:row>
    <x:row r="10">
      <x:c r="A10" s="19" t="str">
        <x:v>Reviewleitung</x:v>
      </x:c>
      <x:c r="B10" s="20" t="str"/>
      <x:c r="C10" s="20" t="str"/>
      <x:c r="D10" s="20" t="str"/>
      <x:c r="E10" s="19" t="str">
        <x:v>Protokollführung</x:v>
      </x:c>
      <x:c r="F10" s="20" t="str"/>
      <x:c r="G10" s="20" t="str"/>
      <x:c r="H10" s="20" t="str"/>
    </x:row>
    <x:row r="12">
      <x:c r="A12" s="12" t="str">
        <x:v>Teilnehmer</x:v>
      </x:c>
      <x:c r="B12" s="12"/>
      <x:c r="C12" s="12"/>
      <x:c r="D12" s="12"/>
      <x:c r="E12" s="12"/>
      <x:c r="F12" s="12"/>
      <x:c r="G12" s="12"/>
      <x:c r="H12" s="12"/>
    </x:row>
    <x:row r="13">
      <x:c r="A13" s="22" t="str">
        <x:v>Teilnehmer 1</x:v>
      </x:c>
      <x:c r="B13" s="23"/>
      <x:c r="C13" s="23"/>
      <x:c r="D13" s="23"/>
      <x:c r="E13" s="23"/>
      <x:c r="F13" s="23"/>
      <x:c r="G13" s="23"/>
      <x:c r="H13" s="23"/>
    </x:row>
    <x:row r="14">
      <x:c r="A14" s="25" t="str">
        <x:v>Teilnehmer 2</x:v>
      </x:c>
      <x:c r="B14" s="23"/>
      <x:c r="C14" s="23"/>
      <x:c r="D14" s="23"/>
      <x:c r="E14" s="23"/>
      <x:c r="F14" s="23"/>
      <x:c r="G14" s="23"/>
      <x:c r="H14" s="23"/>
    </x:row>
    <x:row r="15">
      <x:c r="A15" s="22" t="str">
        <x:v>Teilnehmer 3</x:v>
      </x:c>
      <x:c r="B15" s="23"/>
      <x:c r="C15" s="23"/>
      <x:c r="D15" s="23"/>
      <x:c r="E15" s="23"/>
      <x:c r="F15" s="23"/>
      <x:c r="G15" s="23"/>
      <x:c r="H15" s="23"/>
    </x:row>
    <x:row r="16">
      <x:c r="A16" s="25" t="str">
        <x:v>Teilnehmer 4</x:v>
      </x:c>
      <x:c r="B16" s="23"/>
      <x:c r="C16" s="23"/>
      <x:c r="D16" s="23"/>
      <x:c r="E16" s="23"/>
      <x:c r="F16" s="23"/>
      <x:c r="G16" s="23"/>
      <x:c r="H16" s="23"/>
    </x:row>
    <x:row r="18">
      <x:c r="A18" s="12" t="str">
        <x:v>Fortschritt und Review-Ergebnis</x:v>
      </x:c>
      <x:c r="B18" s="12"/>
      <x:c r="C18" s="12"/>
      <x:c r="D18" s="12"/>
      <x:c r="E18" s="12"/>
      <x:c r="F18" s="12"/>
      <x:c r="G18" s="12"/>
      <x:c r="H18" s="12"/>
    </x:row>
    <x:row r="19">
      <x:c r="A19" s="29" t="str">
        <x:v>Prüfpunkte</x:v>
      </x:c>
      <x:c r="B19" s="29" t="str"/>
      <x:c r="C19" s="29" t="str">
        <x:v>OK</x:v>
      </x:c>
      <x:c r="D19" s="29" t="str"/>
      <x:c r="E19" s="29" t="str">
        <x:v>Nicht OK</x:v>
      </x:c>
      <x:c r="F19" s="29" t="str"/>
      <x:c r="G19" s="29" t="str">
        <x:v>Nicht geprüft</x:v>
      </x:c>
      <x:c r="H19" s="29" t="str">
        <x:v>Abschluss</x:v>
      </x:c>
    </x:row>
    <x:row r="20">
      <x:c r="A20" s="32" t="n">
        <x:f>COUNTA('Review 7.4'!A8:A73)</x:f>
        <x:v>66</x:v>
      </x:c>
      <x:c r="B20" s="32"/>
      <x:c r="C20" s="32" t="n">
        <x:f>COUNTIF('Review 7.4'!G8:G73,"OK")</x:f>
        <x:v>0</x:v>
      </x:c>
      <x:c r="D20" s="32"/>
      <x:c r="E20" s="32" t="n">
        <x:f>COUNTIF('Review 7.4'!G8:G73,"Nicht OK")</x:f>
        <x:v>0</x:v>
      </x:c>
      <x:c r="F20" s="32"/>
      <x:c r="G20" s="32" t="n">
        <x:f>COUNTIF('Review 7.4'!G8:G73,"Nicht geprüft")</x:f>
        <x:v>66</x:v>
      </x:c>
      <x:c r="H20" s="33" t="n">
        <x:f>IF(A20=0,0,(C20+E20)/A20)</x:f>
        <x:v>0</x:v>
      </x:c>
    </x:row>
    <x:row r="22">
      <x:c r="A22" s="30" t="str">
        <x:v>Gesamtergebnis</x:v>
      </x:c>
      <x:c r="B22" s="35"/>
      <x:c r="C22" s="35"/>
      <x:c r="D22" s="35"/>
      <x:c r="E22" s="35"/>
      <x:c r="F22" s="35"/>
      <x:c r="G22" s="35"/>
      <x:c r="H22" s="35"/>
    </x:row>
    <x:row r="23">
      <x:c r="A23" s="37" t="str">
        <x:v>Ergebnis / Begründung</x:v>
      </x:c>
      <x:c r="B23" s="39"/>
      <x:c r="C23" s="39"/>
      <x:c r="D23" s="39"/>
      <x:c r="E23" s="39"/>
      <x:c r="F23" s="39"/>
      <x:c r="G23" s="39"/>
      <x:c r="H23" s="39"/>
    </x:row>
    <x:row r="24">
      <x:c r="A24" s="37"/>
      <x:c r="B24" s="39"/>
      <x:c r="C24" s="39"/>
      <x:c r="D24" s="39"/>
      <x:c r="E24" s="39"/>
      <x:c r="F24" s="39"/>
      <x:c r="G24" s="39"/>
      <x:c r="H24" s="39"/>
    </x:row>
    <x:row r="25">
      <x:c r="A25" s="37"/>
      <x:c r="B25" s="39"/>
      <x:c r="C25" s="39"/>
      <x:c r="D25" s="39"/>
      <x:c r="E25" s="39"/>
      <x:c r="F25" s="39"/>
      <x:c r="G25" s="39"/>
      <x:c r="H25" s="39"/>
    </x:row>
    <x:row r="27">
      <x:c r="A27" s="37" t="str">
        <x:v>Zusammenfassung</x:v>
      </x:c>
      <x:c r="B27" s="39" t="str">
        <x:v>Das Dokument wird auf vollständige, nachvollziehbare und technisch belastbare Umsetzung von IEC 61508-2, Kapitel 7.4, geprüft. Normative Anforderungen und informative Verfahren aus IEC 61508-7 werden getrennt bewertet.</x:v>
      </x:c>
      <x:c r="C27" s="39"/>
      <x:c r="D27" s="39"/>
      <x:c r="E27" s="39"/>
      <x:c r="F27" s="39"/>
      <x:c r="G27" s="39"/>
      <x:c r="H27" s="39"/>
    </x:row>
    <x:row r="28">
      <x:c r="A28" s="37"/>
      <x:c r="B28" s="39"/>
      <x:c r="C28" s="39"/>
      <x:c r="D28" s="39"/>
      <x:c r="E28" s="39"/>
      <x:c r="F28" s="39"/>
      <x:c r="G28" s="39"/>
      <x:c r="H28" s="39"/>
    </x:row>
    <x:row r="29">
      <x:c r="A29" s="37"/>
      <x:c r="B29" s="39"/>
      <x:c r="C29" s="39"/>
      <x:c r="D29" s="39"/>
      <x:c r="E29" s="39"/>
      <x:c r="F29" s="39"/>
      <x:c r="G29" s="39"/>
      <x:c r="H29" s="39"/>
    </x:row>
    <x:row r="30">
      <x:c r="A30" s="37"/>
      <x:c r="B30" s="39"/>
      <x:c r="C30" s="39"/>
      <x:c r="D30" s="39"/>
      <x:c r="E30" s="39"/>
      <x:c r="F30" s="39"/>
      <x:c r="G30" s="39"/>
      <x:c r="H30" s="39"/>
    </x:row>
  </x:sheetData>
  <x:mergeCells>
    <x:mergeCell ref="A1:H2"/>
    <x:mergeCell ref="A3:H3"/>
    <x:mergeCell ref="A5:H5"/>
    <x:mergeCell ref="A12:H12"/>
    <x:mergeCell ref="A18:H18"/>
    <x:mergeCell ref="B22:H22"/>
    <x:mergeCell ref="A23:A25"/>
    <x:mergeCell ref="B23:H25"/>
    <x:mergeCell ref="A27:A30"/>
    <x:mergeCell ref="B27:H30"/>
  </x:mergeCells>
  <x:dataValidations count="2">
    <x:dataValidation type="list" sqref="B8:D8">
      <x:formula1>"SIL 1,SIL 2,SIL 3"</x:formula1>
    </x:dataValidation>
    <x:dataValidation type="list" sqref="B22">
      <x:formula1>"Freigegeben,Freigegeben mit Auflagen,Nicht freigegeben"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66" hidden="0" customWidth="1"/>
    <x:col min="4" max="4" width="30" hidden="0" customWidth="1"/>
    <x:col min="5" max="5" width="34" hidden="0" customWidth="1"/>
    <x:col min="6" max="6" width="22" hidden="0" customWidth="1"/>
    <x:col min="7" max="7" width="17" hidden="0" customWidth="1"/>
  </x:cols>
  <x:sheetData>
    <x:row r="1" ht="28" customHeight="1">
      <x:c r="A1" s="4" t="str">
        <x:v>Checkliste – IEC 61508-2, Kapitel 7.4</x:v>
      </x:c>
      <x:c r="B1" s="4"/>
      <x:c r="C1" s="4"/>
      <x:c r="D1" s="4"/>
      <x:c r="E1" s="4"/>
      <x:c r="F1" s="4"/>
      <x:c r="G1" s="4"/>
    </x:row>
    <x:row r="2" ht="28" customHeight="1">
      <x:c r="A2" s="4"/>
      <x:c r="B2" s="4"/>
      <x:c r="C2" s="4"/>
      <x:c r="D2" s="4"/>
      <x:c r="E2" s="4"/>
      <x:c r="F2" s="4"/>
      <x:c r="G2" s="4"/>
    </x:row>
    <x:row r="3" ht="24" customHeight="1">
      <x:c r="A3" s="8" t="str">
        <x:v>Prüfergebnis: konkrete technische Bewertung. Kommentar / Nachweis: Begründung, Fundstelle, Mess- oder Prüfnachweis beziehungsweise offener Punkt.</x:v>
      </x:c>
      <x:c r="B3" s="8"/>
      <x:c r="C3" s="8"/>
      <x:c r="D3" s="8"/>
      <x:c r="E3" s="8"/>
      <x:c r="F3" s="8"/>
      <x:c r="G3" s="8"/>
    </x:row>
    <x:row r="5">
      <x:c r="A5" s="42" t="str">
        <x:v>Kapitel 7.4</x:v>
      </x:c>
      <x:c r="B5" s="42" t="str">
        <x:v>Entwurf und Entwicklung des E/E/PE-Systems</x:v>
      </x:c>
      <x:c r="C5" s="42" t="str">
        <x:v>66 Prüfpunkte</x:v>
      </x:c>
      <x:c r="D5" s="42"/>
      <x:c r="E5" s="42"/>
      <x:c r="F5" s="42" t="str">
        <x:v>Dokumentenbezug</x:v>
      </x:c>
      <x:c r="G5" s="42" t="str">
        <x:v>Status / OK</x:v>
      </x:c>
    </x:row>
    <x:row r="7" ht="32" customHeight="1">
      <x:c r="A7" s="47" t="str">
        <x:v>Nr.</x:v>
      </x:c>
      <x:c r="B7" s="47" t="str">
        <x:v>Normkapitel</x:v>
      </x:c>
      <x:c r="C7" s="47" t="str">
        <x:v>Prüffrage / Prüfkriterium</x:v>
      </x:c>
      <x:c r="D7" s="47" t="str">
        <x:v>Prüfergebnis</x:v>
      </x:c>
      <x:c r="E7" s="47" t="str">
        <x:v>Kommentar / Nachweis</x:v>
      </x:c>
      <x:c r="F7" s="47" t="str">
        <x:v>E/A-Dokumente (IDs)</x:v>
      </x:c>
      <x:c r="G7" s="47" t="str">
        <x:v>Status / OK</x:v>
      </x:c>
    </x:row>
    <x:row r="8" ht="74" customHeight="1">
      <x:c r="A8" s="17" t="str">
        <x:v>Z1</x:v>
      </x:c>
      <x:c r="B8" s="17" t="str">
        <x:v>7.4.1</x:v>
      </x:c>
      <x:c r="C8" s="17" t="str">
        <x:v>Ist der Entwurf so ausgerichtet, dass die spezifizierten Sicherheitsfunktionen und die Anforderungen an die Sicherheitsintegrität vollständig erfüllt werden?</x:v>
      </x:c>
      <x:c r="D8" s="20" t="str"/>
      <x:c r="E8" s="20" t="str"/>
      <x:c r="F8" s="18" t="str">
        <x:v>D01, D02, D03</x:v>
      </x:c>
      <x:c r="G8" s="48" t="str">
        <x:v>Nicht geprüft</x:v>
      </x:c>
    </x:row>
    <x:row r="9" ht="74" customHeight="1">
      <x:c r="A9" s="17" t="str">
        <x:v>1</x:v>
      </x:c>
      <x:c r="B9" s="17" t="str">
        <x:v>7.4.2.1</x:v>
      </x:c>
      <x:c r="C9" s="17" t="str">
        <x:v>Wurde der Entwurf nach der freigegebenen Spezifikation der Anforderungen an den Entwurf und unter Einbeziehung sämtlicher Anforderungen aus 7.2.3 erstellt?</x:v>
      </x:c>
      <x:c r="D9" s="20" t="str"/>
      <x:c r="E9" s="20" t="str"/>
      <x:c r="F9" s="18" t="str">
        <x:v>D01, D02, D04</x:v>
      </x:c>
      <x:c r="G9" s="48" t="str">
        <x:v>Nicht geprüft</x:v>
      </x:c>
    </x:row>
    <x:row r="10" ht="74" customHeight="1">
      <x:c r="A10" s="17" t="str">
        <x:v>2</x:v>
      </x:c>
      <x:c r="B10" s="17" t="str">
        <x:v>7.4.2.2</x:v>
      </x:c>
      <x:c r="C10" s="17" t="str">
        <x:v>Erfüllt die Gesamtarchitektur nachweisbar die Anforderungen an Hardware-Sicherheitsintegrität, systematische Eignung, Fehlerreaktion und Datenkommunikation einschließlich anwendbarer IC-Anforderungen?</x:v>
      </x:c>
      <x:c r="D10" s="20" t="str"/>
      <x:c r="E10" s="20" t="str"/>
      <x:c r="F10" s="18" t="str">
        <x:v>D02, D04, D05</x:v>
      </x:c>
      <x:c r="G10" s="48" t="str">
        <x:v>Nicht geprüft</x:v>
      </x:c>
    </x:row>
    <x:row r="11" ht="74" customHeight="1">
      <x:c r="A11" s="17" t="str">
        <x:v>3</x:v>
      </x:c>
      <x:c r="B11" s="17" t="str">
        <x:v>7.4.2.3</x:v>
      </x:c>
      <x:c r="C11" s="17" t="str">
        <x:v>Sind Sicherheits- und Nichtsicherheitsfunktionen ausreichend unabhängig oder wird die gesamte gemeinsame Hardware und Software als sicherheitsbezogen behandelt?</x:v>
      </x:c>
      <x:c r="D11" s="20" t="str"/>
      <x:c r="E11" s="20" t="str"/>
      <x:c r="F11" s="18" t="str">
        <x:v>D02, D04</x:v>
      </x:c>
      <x:c r="G11" s="48" t="str">
        <x:v>Nicht geprüft</x:v>
      </x:c>
    </x:row>
    <x:row r="12" ht="74" customHeight="1">
      <x:c r="A12" s="17" t="str">
        <x:v>4</x:v>
      </x:c>
      <x:c r="B12" s="17" t="str">
        <x:v>7.4.2.4</x:v>
      </x:c>
      <x:c r="C12" s="17" t="str">
        <x:v>Wird bei gemeinsam implementierten Sicherheitsfunktionen der höchste betroffene SIL zugrunde gelegt, sofern keine ausreichende Unabhängigkeit nachgewiesen ist?</x:v>
      </x:c>
      <x:c r="D12" s="20" t="str"/>
      <x:c r="E12" s="20" t="str"/>
      <x:c r="F12" s="18" t="str">
        <x:v>D02, D04</x:v>
      </x:c>
      <x:c r="G12" s="48" t="str">
        <x:v>Nicht geprüft</x:v>
      </x:c>
    </x:row>
    <x:row r="13" ht="74" customHeight="1">
      <x:c r="A13" s="17" t="str">
        <x:v>5</x:v>
      </x:c>
      <x:c r="B13" s="17" t="str">
        <x:v>7.4.2.5</x:v>
      </x:c>
      <x:c r="C13" s="17" t="str">
        <x:v>Sind Methode und technische Begründung der geforderten Unabhängigkeit dokumentiert und durch eine Analyse abhängiger Ausfälle belastbar nachgewiesen?</x:v>
      </x:c>
      <x:c r="D13" s="20" t="str"/>
      <x:c r="E13" s="20" t="str"/>
      <x:c r="F13" s="18" t="str">
        <x:v>D04, D07</x:v>
      </x:c>
      <x:c r="G13" s="48" t="str">
        <x:v>Nicht geprüft</x:v>
      </x:c>
    </x:row>
    <x:row r="14" ht="74" customHeight="1">
      <x:c r="A14" s="17" t="str">
        <x:v>6</x:v>
      </x:c>
      <x:c r="B14" s="17" t="str">
        <x:v>7.4.2.6</x:v>
      </x:c>
      <x:c r="C14" s="17" t="str">
        <x:v>Wurden dem Systementwickler die vollständigen und freigegebenen Anforderungen an die sicherheitsbezogene Software zur Verfügung gestellt?</x:v>
      </x:c>
      <x:c r="D14" s="20" t="str"/>
      <x:c r="E14" s="20" t="str"/>
      <x:c r="F14" s="18" t="str">
        <x:v>D01, D10</x:v>
      </x:c>
      <x:c r="G14" s="48" t="str">
        <x:v>Nicht geprüft</x:v>
      </x:c>
    </x:row>
    <x:row r="15" ht="74" customHeight="1">
      <x:c r="A15" s="17" t="str">
        <x:v>7</x:v>
      </x:c>
      <x:c r="B15" s="17" t="str">
        <x:v>7.4.2.7</x:v>
      </x:c>
      <x:c r="C15" s="17" t="str">
        <x:v>Hat der Systementwickler die Hardware- und Softwareanforderungen hinsichtlich Sicherheitsfunktionen, Sicherheitsintegrität und Betriebsmittel- sowie Bedienerschnittstellen auf Angemessenheit geprüft?</x:v>
      </x:c>
      <x:c r="D15" s="20" t="str"/>
      <x:c r="E15" s="20" t="str"/>
      <x:c r="F15" s="18" t="str">
        <x:v>D01, D04</x:v>
      </x:c>
      <x:c r="G15" s="48" t="str">
        <x:v>Nicht geprüft</x:v>
      </x:c>
    </x:row>
    <x:row r="16" ht="74" customHeight="1">
      <x:c r="A16" s="17" t="str">
        <x:v>8</x:v>
      </x:c>
      <x:c r="B16" s="17" t="str">
        <x:v>7.4.2.8</x:v>
      </x:c>
      <x:c r="C16" s="17" t="str">
        <x:v>Legt die Entwurfsdokumentation die für jede Lebenszyklusphase erforderlichen Verfahren und Maßnahmen zum Erreichen des SIL fest?</x:v>
      </x:c>
      <x:c r="D16" s="20" t="str"/>
      <x:c r="E16" s="20" t="str"/>
      <x:c r="F16" s="18" t="str">
        <x:v>D02, D05</x:v>
      </x:c>
      <x:c r="G16" s="48" t="str">
        <x:v>Nicht geprüft</x:v>
      </x:c>
    </x:row>
    <x:row r="17" ht="74" customHeight="1">
      <x:c r="A17" s="17" t="str">
        <x:v>9</x:v>
      </x:c>
      <x:c r="B17" s="17" t="str">
        <x:v>7.4.2.9</x:v>
      </x:c>
      <x:c r="C17" s="17" t="str">
        <x:v>Begründet die Entwurfsdokumentation die Auswahl und Kombination der Verfahren und Maßnahmen in Bezug auf den erforderlichen SIL?</x:v>
      </x:c>
      <x:c r="D17" s="20" t="str"/>
      <x:c r="E17" s="20" t="str"/>
      <x:c r="F17" s="18" t="str">
        <x:v>D02, D05, D11</x:v>
      </x:c>
      <x:c r="G17" s="48" t="str">
        <x:v>Nicht geprüft</x:v>
      </x:c>
    </x:row>
    <x:row r="18" ht="74" customHeight="1">
      <x:c r="A18" s="17" t="str">
        <x:v>10</x:v>
      </x:c>
      <x:c r="B18" s="17" t="str">
        <x:v>7.4.2.10</x:v>
      </x:c>
      <x:c r="C18" s="17" t="str">
        <x:v>Sind alle sicherheitsrelevanten Hardware-Software-Wechselwirkungen identifiziert, bewertet und nachvollziehbar dokumentiert?</x:v>
      </x:c>
      <x:c r="D18" s="20" t="str"/>
      <x:c r="E18" s="20" t="str"/>
      <x:c r="F18" s="18" t="str">
        <x:v>D02, D04</x:v>
      </x:c>
      <x:c r="G18" s="48" t="str">
        <x:v>Nicht geprüft</x:v>
      </x:c>
    </x:row>
    <x:row r="19" ht="74" customHeight="1">
      <x:c r="A19" s="17" t="str">
        <x:v>11</x:v>
      </x:c>
      <x:c r="B19" s="17" t="str">
        <x:v>7.4.2.11</x:v>
      </x:c>
      <x:c r="C19" s="17" t="str">
        <x:v>Ist der Entwurf in eindeutig abgegrenzte Teilsysteme mit jeweils festgelegtem Entwurf und spezifizierten Integrationstests zerlegt?</x:v>
      </x:c>
      <x:c r="D19" s="20" t="str"/>
      <x:c r="E19" s="20" t="str"/>
      <x:c r="F19" s="18" t="str">
        <x:v>D02, D06</x:v>
      </x:c>
      <x:c r="G19" s="48" t="str">
        <x:v>Nicht geprüft</x:v>
      </x:c>
    </x:row>
    <x:row r="20" ht="74" customHeight="1">
      <x:c r="A20" s="17" t="str">
        <x:v>12</x:v>
      </x:c>
      <x:c r="B20" s="17" t="str">
        <x:v>7.4.2.12</x:v>
      </x:c>
      <x:c r="C20" s="17" t="str">
        <x:v>Wurde nach dem Erstentwurf analysiert, ob vernünftigerweise vorhersehbare Ausfälle Gefährdungen oder Anforderungen an andere Risikominderungsmaßnahmen erzeugen, und wurde erforderlichenfalls der Entwurf vorrangig geändert?</x:v>
      </x:c>
      <x:c r="D20" s="20" t="str"/>
      <x:c r="E20" s="20" t="str"/>
      <x:c r="F20" s="18" t="str">
        <x:v>D04, D07, D08</x:v>
      </x:c>
      <x:c r="G20" s="48" t="str">
        <x:v>Nicht geprüft</x:v>
      </x:c>
    </x:row>
    <x:row r="21" ht="74" customHeight="1">
      <x:c r="A21" s="17" t="str">
        <x:v>13</x:v>
      </x:c>
      <x:c r="B21" s="17" t="str">
        <x:v>7.4.2.13</x:v>
      </x:c>
      <x:c r="C21" s="17" t="str">
        <x:v>Ist die elektrische und thermische Unterlastung aller Hardwarebauteile berücksichtigt und ist jeder Betrieb an Bauteilgrenzen technisch begründet dokumentiert?</x:v>
      </x:c>
      <x:c r="D21" s="20" t="str"/>
      <x:c r="E21" s="20" t="str"/>
      <x:c r="F21" s="18" t="str">
        <x:v>D02, D04</x:v>
      </x:c>
      <x:c r="G21" s="48" t="str">
        <x:v>Nicht geprüft</x:v>
      </x:c>
    </x:row>
    <x:row r="22" ht="74" customHeight="1">
      <x:c r="A22" s="17" t="str">
        <x:v>14</x:v>
      </x:c>
      <x:c r="B22" s="17" t="str">
        <x:v>7.4.2.14</x:v>
      </x:c>
      <x:c r="C22" s="17" t="str">
        <x:v>Wird für jeden zur Sicherheitsfunktion beitragenden ASIC der geforderte ASIC-Entwicklungslebenszyklus angewendet?</x:v>
      </x:c>
      <x:c r="D22" s="20" t="str"/>
      <x:c r="E22" s="20" t="str"/>
      <x:c r="F22" s="18" t="str">
        <x:v>D03, D10</x:v>
      </x:c>
      <x:c r="G22" s="48" t="str">
        <x:v>Nicht geprüft</x:v>
      </x:c>
    </x:row>
    <x:row r="23" ht="74" customHeight="1">
      <x:c r="A23" s="17" t="str">
        <x:v>15</x:v>
      </x:c>
      <x:c r="B23" s="17" t="str">
        <x:v>7.4.3.1</x:v>
      </x:c>
      <x:c r="C23" s="17" t="str">
        <x:v>Ist eine Aufteilung in Elemente unterschiedlicher systematischer Eignung nur unter den in 7.4.3 festgelegten Randbedingungen vorgenommen worden?</x:v>
      </x:c>
      <x:c r="D23" s="20" t="str"/>
      <x:c r="E23" s="20" t="str"/>
      <x:c r="F23" s="18" t="str">
        <x:v>D02, D04</x:v>
      </x:c>
      <x:c r="G23" s="48" t="str">
        <x:v>Nicht geprüft</x:v>
      </x:c>
    </x:row>
    <x:row r="24" ht="74" customHeight="1">
      <x:c r="A24" s="17" t="str">
        <x:v>16</x:v>
      </x:c>
      <x:c r="B24" s="17" t="str">
        <x:v>7.4.3.2</x:v>
      </x:c>
      <x:c r="C24" s="17" t="str">
        <x:v>Ist eine Erhöhung von SC N auf höchstens SC (N+1) ausschließlich bei zwei geeigneten Elementen und nachgewiesener ausreichender Unabhängigkeit beansprucht?</x:v>
      </x:c>
      <x:c r="D24" s="20" t="str"/>
      <x:c r="E24" s="20" t="str"/>
      <x:c r="F24" s="18" t="str">
        <x:v>D04, D07</x:v>
      </x:c>
      <x:c r="G24" s="48" t="str">
        <x:v>Nicht geprüft</x:v>
      </x:c>
    </x:row>
    <x:row r="25" ht="74" customHeight="1">
      <x:c r="A25" s="17" t="str">
        <x:v>17</x:v>
      </x:c>
      <x:c r="B25" s="17" t="str">
        <x:v>7.4.3.3</x:v>
      </x:c>
      <x:c r="C25" s="17" t="str">
        <x:v>Ist ausgeschlossen, dass durch wiederholtes Zusammenfügen von SC-N-Elementen unzulässig SC (N+2) oder höher beansprucht wird?</x:v>
      </x:c>
      <x:c r="D25" s="20" t="str"/>
      <x:c r="E25" s="20" t="str"/>
      <x:c r="F25" s="18" t="str">
        <x:v>D04, D07</x:v>
      </x:c>
      <x:c r="G25" s="48" t="str">
        <x:v>Nicht geprüft</x:v>
      </x:c>
    </x:row>
    <x:row r="26" ht="74" customHeight="1">
      <x:c r="A26" s="17" t="str">
        <x:v>18</x:v>
      </x:c>
      <x:c r="B26" s="17" t="str">
        <x:v>7.4.3.4</x:v>
      </x:c>
      <x:c r="C26" s="17" t="str">
        <x:v>Begründet eine Analyse gemeinsamer Ursachen die ausreichende Unabhängigkeit zwischen Elementen sowie gegenüber der Umgebung quantitativ oder qualitativ passend zum SIL?</x:v>
      </x:c>
      <x:c r="D26" s="20" t="str"/>
      <x:c r="E26" s="20" t="str"/>
      <x:c r="F26" s="18" t="str">
        <x:v>D04, D07</x:v>
      </x:c>
      <x:c r="G26" s="48" t="str">
        <x:v>Nicht geprüft</x:v>
      </x:c>
    </x:row>
    <x:row r="27" ht="74" customHeight="1">
      <x:c r="A27" s="17" t="str">
        <x:v>19</x:v>
      </x:c>
      <x:c r="B27" s="17" t="str">
        <x:v>7.4.4.1.1</x:v>
      </x:c>
      <x:c r="C27" s="17" t="str">
        <x:v>Sind Hardwarefehlertoleranz, Folgefehler und jeder beanspruchte Fehlerausschluss normgerecht bestimmt, begründet und dokumentiert?</x:v>
      </x:c>
      <x:c r="D27" s="20" t="str"/>
      <x:c r="E27" s="20" t="str"/>
      <x:c r="F27" s="18" t="str">
        <x:v>D04, D07</x:v>
      </x:c>
      <x:c r="G27" s="48" t="str">
        <x:v>Nicht geprüft</x:v>
      </x:c>
    </x:row>
    <x:row r="28" ht="74" customHeight="1">
      <x:c r="A28" s="17" t="str">
        <x:v>20</x:v>
      </x:c>
      <x:c r="B28" s="17" t="str">
        <x:v>7.4.4.1.2</x:v>
      </x:c>
      <x:c r="C28" s="17" t="str">
        <x:v>Ist jedes als Typ A eingestufte Element durch eindeutig definiertes Ausfallverhalten, vollständig bestimmbares Fehlerverhalten und verlässliche Ausfalldaten belegt?</x:v>
      </x:c>
      <x:c r="D28" s="20" t="str"/>
      <x:c r="E28" s="20" t="str"/>
      <x:c r="F28" s="18" t="str">
        <x:v>D04, D07</x:v>
      </x:c>
      <x:c r="G28" s="48" t="str">
        <x:v>Nicht geprüft</x:v>
      </x:c>
    </x:row>
    <x:row r="29" ht="74" customHeight="1">
      <x:c r="A29" s="17" t="str">
        <x:v>21</x:v>
      </x:c>
      <x:c r="B29" s="17" t="str">
        <x:v>7.4.4.1.3</x:v>
      </x:c>
      <x:c r="C29" s="17" t="str">
        <x:v>Wird ein Element als Typ B behandelt, sobald mindestens eines der Kriterien für Typ A nicht erfüllt ist?</x:v>
      </x:c>
      <x:c r="D29" s="20" t="str"/>
      <x:c r="E29" s="20" t="str"/>
      <x:c r="F29" s="18" t="str">
        <x:v>D04, D07</x:v>
      </x:c>
      <x:c r="G29" s="48" t="str">
        <x:v>Nicht geprüft</x:v>
      </x:c>
    </x:row>
    <x:row r="30" ht="74" customHeight="1">
      <x:c r="A30" s="17" t="str">
        <x:v>22</x:v>
      </x:c>
      <x:c r="B30" s="17" t="str">
        <x:v>7.4.4.1.4</x:v>
      </x:c>
      <x:c r="C30" s="17" t="str">
        <x:v>Wird Diagnose bei HFT 0 und hoher oder kontinuierlicher Anforderung nur bei Einhaltung der Prozess-Sicherheitszeit oder des geforderten Testratenverhältnisses angerechnet?</x:v>
      </x:c>
      <x:c r="D30" s="20" t="str"/>
      <x:c r="E30" s="20" t="str"/>
      <x:c r="F30" s="18" t="str">
        <x:v>D04, D07</x:v>
      </x:c>
      <x:c r="G30" s="48" t="str">
        <x:v>Nicht geprüft</x:v>
      </x:c>
    </x:row>
    <x:row r="31" ht="74" customHeight="1">
      <x:c r="A31" s="17" t="str">
        <x:v>23</x:v>
      </x:c>
      <x:c r="B31" s="17" t="str">
        <x:v>7.4.4.1.5</x:v>
      </x:c>
      <x:c r="C31" s="17" t="str">
        <x:v>Wird Diagnose bei HFT größer 0 oder niedriger Anforderungsrate nur angerechnet, wenn Diagnoseintervall plus Reparaturzeit kleiner als die angesetzte MTTR ist?</x:v>
      </x:c>
      <x:c r="D31" s="20" t="str"/>
      <x:c r="E31" s="20" t="str"/>
      <x:c r="F31" s="18" t="str">
        <x:v>D04, D07</x:v>
      </x:c>
      <x:c r="G31" s="48" t="str">
        <x:v>Nicht geprüft</x:v>
      </x:c>
    </x:row>
    <x:row r="32" ht="74" customHeight="1">
      <x:c r="A32" s="17" t="str">
        <x:v>24</x:v>
      </x:c>
      <x:c r="B32" s="17" t="str">
        <x:v>7.4.4.2.1</x:v>
      </x:c>
      <x:c r="C32" s="17" t="str">
        <x:v>Wurde der maximal beanspruchbare SIL nach Pfad 1H systematisch aus Teilsystemen, SFF, HFT und der zutreffenden Typ-A- oder Typ-B-Tabelle bestimmt?</x:v>
      </x:c>
      <x:c r="D32" s="20" t="str"/>
      <x:c r="E32" s="20" t="str"/>
      <x:c r="F32" s="18" t="str">
        <x:v>D04, D07</x:v>
      </x:c>
      <x:c r="G32" s="48" t="str">
        <x:v>Nicht geprüft</x:v>
      </x:c>
    </x:row>
    <x:row r="33" ht="74" customHeight="1">
      <x:c r="A33" s="17" t="str">
        <x:v>25</x:v>
      </x:c>
      <x:c r="B33" s="17" t="str">
        <x:v>7.4.4.2.2</x:v>
      </x:c>
      <x:c r="C33" s="17" t="str">
        <x:v>Sind die Architekturgrenzen von Pfad 1H für jedes Teilsystem und jede Sicherheitsfunktion eingehalten?</x:v>
      </x:c>
      <x:c r="D33" s="20" t="str"/>
      <x:c r="E33" s="20" t="str"/>
      <x:c r="F33" s="18" t="str">
        <x:v>D04, D07</x:v>
      </x:c>
      <x:c r="G33" s="48" t="str">
        <x:v>Nicht geprüft</x:v>
      </x:c>
    </x:row>
    <x:row r="34" ht="74" customHeight="1">
      <x:c r="A34" s="17" t="str">
        <x:v>26</x:v>
      </x:c>
      <x:c r="B34" s="17" t="str">
        <x:v>7.4.4.2.3</x:v>
      </x:c>
      <x:c r="C34" s="17" t="str">
        <x:v>Ist bei Kombination unterschiedlicher Elemente der für das Teilsystem beanspruchbare SIL entsprechend der schwächsten maßgebenden Architekturgrenze bestimmt?</x:v>
      </x:c>
      <x:c r="D34" s="20" t="str"/>
      <x:c r="E34" s="20" t="str"/>
      <x:c r="F34" s="18" t="str">
        <x:v>D04, D07</x:v>
      </x:c>
      <x:c r="G34" s="48" t="str">
        <x:v>Nicht geprüft</x:v>
      </x:c>
    </x:row>
    <x:row r="35" ht="74" customHeight="1">
      <x:c r="A35" s="17" t="str">
        <x:v>27</x:v>
      </x:c>
      <x:c r="B35" s="17" t="str">
        <x:v>7.4.4.2.4</x:v>
      </x:c>
      <x:c r="C35" s="17" t="str">
        <x:v>Sind besondere Konfigurationen und Ausnahmen des Pfads 1H vollständig begründet und ohne unzulässige Anrechnung von Diagnose bewertet?</x:v>
      </x:c>
      <x:c r="D35" s="20" t="str"/>
      <x:c r="E35" s="20" t="str"/>
      <x:c r="F35" s="18" t="str">
        <x:v>D04, D07</x:v>
      </x:c>
      <x:c r="G35" s="48" t="str">
        <x:v>Nicht geprüft</x:v>
      </x:c>
    </x:row>
    <x:row r="36" ht="74" customHeight="1">
      <x:c r="A36" s="17" t="str">
        <x:v>28</x:v>
      </x:c>
      <x:c r="B36" s="17" t="str">
        <x:v>7.4.4.3.1</x:v>
      </x:c>
      <x:c r="C36" s="17" t="str">
        <x:v>Wird Pfad 2H nur auf Grundlage belastbarer Betriebsbewährungsdaten und der hierfür festgelegten statistischen Bedingungen angewendet?</x:v>
      </x:c>
      <x:c r="D36" s="20" t="str"/>
      <x:c r="E36" s="20" t="str"/>
      <x:c r="F36" s="18" t="str">
        <x:v>D04, D07</x:v>
      </x:c>
      <x:c r="G36" s="48" t="str">
        <x:v>Nicht geprüft</x:v>
      </x:c>
    </x:row>
    <x:row r="37" ht="74" customHeight="1">
      <x:c r="A37" s="17" t="str">
        <x:v>29</x:v>
      </x:c>
      <x:c r="B37" s="17" t="str">
        <x:v>7.4.4.3.2</x:v>
      </x:c>
      <x:c r="C37" s="17" t="str">
        <x:v>Sind die für Pfad 2H verwendeten Felddaten für Funktion, Konfiguration, Betriebsprofil und Umgebung repräsentativ?</x:v>
      </x:c>
      <x:c r="D37" s="20" t="str"/>
      <x:c r="E37" s="20" t="str"/>
      <x:c r="F37" s="18" t="str">
        <x:v>D04, D07</x:v>
      </x:c>
      <x:c r="G37" s="48" t="str">
        <x:v>Nicht geprüft</x:v>
      </x:c>
    </x:row>
    <x:row r="38" ht="74" customHeight="1">
      <x:c r="A38" s="17" t="str">
        <x:v>30</x:v>
      </x:c>
      <x:c r="B38" s="17" t="str">
        <x:v>7.4.4.3.3</x:v>
      </x:c>
      <x:c r="C38" s="17" t="str">
        <x:v>Sind Umfang, Qualität und Vertrauensniveau der Betriebsdaten ausreichend, um die beanspruchte Ausfallrate zu stützen?</x:v>
      </x:c>
      <x:c r="D38" s="20" t="str"/>
      <x:c r="E38" s="20" t="str"/>
      <x:c r="F38" s="18" t="str">
        <x:v>D04, D07</x:v>
      </x:c>
      <x:c r="G38" s="48" t="str">
        <x:v>Nicht geprüft</x:v>
      </x:c>
    </x:row>
    <x:row r="39" ht="74" customHeight="1">
      <x:c r="A39" s="17" t="str">
        <x:v>31</x:v>
      </x:c>
      <x:c r="B39" s="17" t="str">
        <x:v>7.4.4.3.4</x:v>
      </x:c>
      <x:c r="C39" s="17" t="str">
        <x:v>Ist der aus Pfad 2H beanspruchte SIL für jedes Teilsystem nachvollziehbar hergeleitet und auf die betrachtete Sicherheitsfunktion bezogen?</x:v>
      </x:c>
      <x:c r="D39" s="20" t="str"/>
      <x:c r="E39" s="20" t="str"/>
      <x:c r="F39" s="18" t="str">
        <x:v>D04, D07</x:v>
      </x:c>
      <x:c r="G39" s="48" t="str">
        <x:v>Nicht geprüft</x:v>
      </x:c>
    </x:row>
    <x:row r="40" ht="74" customHeight="1">
      <x:c r="A40" s="17" t="str">
        <x:v>32</x:v>
      </x:c>
      <x:c r="B40" s="17" t="str">
        <x:v>7.4.5.1</x:v>
      </x:c>
      <x:c r="C40" s="17" t="str">
        <x:v>Ist die Wahrscheinlichkeit eines gefährlichen zufälligen Hardwareausfalls für jede Sicherheitsfunktion entsprechend der Betriebsart quantitativ bestimmt?</x:v>
      </x:c>
      <x:c r="D40" s="20" t="str"/>
      <x:c r="E40" s="20" t="str"/>
      <x:c r="F40" s="18" t="str">
        <x:v>D04, D07</x:v>
      </x:c>
      <x:c r="G40" s="48" t="str">
        <x:v>Nicht geprüft</x:v>
      </x:c>
    </x:row>
    <x:row r="41" ht="74" customHeight="1">
      <x:c r="A41" s="17" t="str">
        <x:v>33</x:v>
      </x:c>
      <x:c r="B41" s="17" t="str">
        <x:v>7.4.5.2</x:v>
      </x:c>
      <x:c r="C41" s="17" t="str">
        <x:v>Berücksichtigt die Quantifizierung Architektur, Ausfallarten und -raten, Diagnosen, gemeinsame Ursachen, Prüfintervalle, Reparaturzeiten und alle relevanten Teilsysteme?</x:v>
      </x:c>
      <x:c r="D41" s="20" t="str"/>
      <x:c r="E41" s="20" t="str"/>
      <x:c r="F41" s="18" t="str">
        <x:v>D04, D07</x:v>
      </x:c>
      <x:c r="G41" s="48" t="str">
        <x:v>Nicht geprüft</x:v>
      </x:c>
    </x:row>
    <x:row r="42" ht="74" customHeight="1">
      <x:c r="A42" s="17" t="str">
        <x:v>34</x:v>
      </x:c>
      <x:c r="B42" s="17" t="str">
        <x:v>7.4.5.3</x:v>
      </x:c>
      <x:c r="C42" s="17" t="str">
        <x:v>Wird Diagnose bei HFT 0 und hoher oder kontinuierlicher Anforderung nur unter den zeitlichen oder ratenbezogenen Bedingungen aus 7.4.5.3 angerechnet?</x:v>
      </x:c>
      <x:c r="D42" s="20" t="str"/>
      <x:c r="E42" s="20" t="str"/>
      <x:c r="F42" s="18" t="str">
        <x:v>D04, D07</x:v>
      </x:c>
      <x:c r="G42" s="48" t="str">
        <x:v>Nicht geprüft</x:v>
      </x:c>
    </x:row>
    <x:row r="43" ht="74" customHeight="1">
      <x:c r="A43" s="17" t="str">
        <x:v>35</x:v>
      </x:c>
      <x:c r="B43" s="17" t="str">
        <x:v>7.4.5.4</x:v>
      </x:c>
      <x:c r="C43" s="17" t="str">
        <x:v>Ist für HFT größer 0 oder niedrige Anforderungsrate das Diagnoseintervall so gewählt, dass Diagnoseintervall plus Reparaturzeit unter der angesetzten MTTR bleibt?</x:v>
      </x:c>
      <x:c r="D43" s="20" t="str"/>
      <x:c r="E43" s="20" t="str"/>
      <x:c r="F43" s="18" t="str">
        <x:v>D04, D07</x:v>
      </x:c>
      <x:c r="G43" s="48" t="str">
        <x:v>Nicht geprüft</x:v>
      </x:c>
    </x:row>
    <x:row r="44" ht="74" customHeight="1">
      <x:c r="A44" s="17" t="str">
        <x:v>36</x:v>
      </x:c>
      <x:c r="B44" s="17" t="str">
        <x:v>7.4.5.5</x:v>
      </x:c>
      <x:c r="C44" s="17" t="str">
        <x:v>Wurden bei Nichterreichen der Sicherheitsintegrität die dominierenden Beiträge identifiziert, Verbesserungen bewertet und umgesetzt sowie die Quantifizierung wiederholt?</x:v>
      </x:c>
      <x:c r="D44" s="20" t="str"/>
      <x:c r="E44" s="20" t="str"/>
      <x:c r="F44" s="18" t="str">
        <x:v>D04, D07, D08</x:v>
      </x:c>
      <x:c r="G44" s="48" t="str">
        <x:v>Nicht geprüft</x:v>
      </x:c>
    </x:row>
    <x:row r="45" ht="74" customHeight="1">
      <x:c r="A45" s="17" t="str">
        <x:v>37</x:v>
      </x:c>
      <x:c r="B45" s="17" t="str">
        <x:v>7.4.6.1</x:v>
      </x:c>
      <x:c r="C45" s="17" t="str">
        <x:v>Wird eine dem SIL angemessene Gruppe von Verfahren und Maßnahmen nach Tabelle B.2 und IEC 61508-3 zur Fehlervermeidung eingesetzt?</x:v>
      </x:c>
      <x:c r="D45" s="20" t="str"/>
      <x:c r="E45" s="20" t="str"/>
      <x:c r="F45" s="18" t="str">
        <x:v>D03, D05</x:v>
      </x:c>
      <x:c r="G45" s="48" t="str">
        <x:v>Nicht geprüft</x:v>
      </x:c>
    </x:row>
    <x:row r="46" ht="74" customHeight="1">
      <x:c r="A46" s="17" t="str">
        <x:v>38</x:v>
      </x:c>
      <x:c r="B46" s="17" t="str">
        <x:v>7.4.6.2</x:v>
      </x:c>
      <x:c r="C46" s="17" t="str">
        <x:v>Unterstützt die Entwurfsmethode Transparenz, Modularität, eindeutige Funktion und Schnittstellen, zeitliches Verhalten, Kommunikation sowie Verifikation und Validierung?</x:v>
      </x:c>
      <x:c r="D46" s="20" t="str"/>
      <x:c r="E46" s="20" t="str"/>
      <x:c r="F46" s="18" t="str">
        <x:v>D02, D05</x:v>
      </x:c>
      <x:c r="G46" s="48" t="str">
        <x:v>Nicht geprüft</x:v>
      </x:c>
    </x:row>
    <x:row r="47" ht="74" customHeight="1">
      <x:c r="A47" s="17" t="str">
        <x:v>39</x:v>
      </x:c>
      <x:c r="B47" s="17" t="str">
        <x:v>7.4.6.3</x:v>
      </x:c>
      <x:c r="C47" s="17" t="str">
        <x:v>Sind die Instandhaltungsanforderungen bereits im Entwurfsstadium formalisiert, sodass die Sicherheitsintegrität im Betrieb erhalten werden kann?</x:v>
      </x:c>
      <x:c r="D47" s="20" t="str"/>
      <x:c r="E47" s="20" t="str"/>
      <x:c r="F47" s="18" t="str">
        <x:v>D02, D05</x:v>
      </x:c>
      <x:c r="G47" s="48" t="str">
        <x:v>Nicht geprüft</x:v>
      </x:c>
    </x:row>
    <x:row r="48" ht="74" customHeight="1">
      <x:c r="A48" s="17" t="str">
        <x:v>40</x:v>
      </x:c>
      <x:c r="B48" s="17" t="str">
        <x:v>7.4.6.4</x:v>
      </x:c>
      <x:c r="C48" s="17" t="str">
        <x:v>Werden anwendbare automatische Testwerkzeuge und integrierte Entwicklungswerkzeuge kontrolliert eingesetzt?</x:v>
      </x:c>
      <x:c r="D48" s="20" t="str"/>
      <x:c r="E48" s="20" t="str"/>
      <x:c r="F48" s="18" t="str">
        <x:v>D05, D09</x:v>
      </x:c>
      <x:c r="G48" s="48" t="str">
        <x:v>Nicht geprüft</x:v>
      </x:c>
    </x:row>
    <x:row r="49" ht="74" customHeight="1">
      <x:c r="A49" s="17" t="str">
        <x:v>41</x:v>
      </x:c>
      <x:c r="B49" s="17" t="str">
        <x:v>7.4.6.5</x:v>
      </x:c>
      <x:c r="C49" s="17" t="str">
        <x:v>Sind Integrationstests mit Testarten, Verfahren, Testumgebung, Werkzeugen, Konfiguration, Programmen und eindeutigen Bestehenskriterien geplant?</x:v>
      </x:c>
      <x:c r="D49" s="20" t="str"/>
      <x:c r="E49" s="20" t="str"/>
      <x:c r="F49" s="18" t="str">
        <x:v>D03, D06</x:v>
      </x:c>
      <x:c r="G49" s="48" t="str">
        <x:v>Nicht geprüft</x:v>
      </x:c>
    </x:row>
    <x:row r="50" ht="74" customHeight="1">
      <x:c r="A50" s="17" t="str">
        <x:v>42</x:v>
      </x:c>
      <x:c r="B50" s="17" t="str">
        <x:v>7.4.6.6</x:v>
      </x:c>
      <x:c r="C50" s="17" t="str">
        <x:v>Sind werksseitig ausführbare Tätigkeiten eindeutig von Tätigkeiten getrennt, die Zugang zur Betriebsstätte des Anwenders erfordern?</x:v>
      </x:c>
      <x:c r="D50" s="20" t="str"/>
      <x:c r="E50" s="20" t="str"/>
      <x:c r="F50" s="18" t="str">
        <x:v>D03, D06</x:v>
      </x:c>
      <x:c r="G50" s="48" t="str">
        <x:v>Nicht geprüft</x:v>
      </x:c>
    </x:row>
    <x:row r="51" ht="74" customHeight="1">
      <x:c r="A51" s="17" t="str">
        <x:v>43</x:v>
      </x:c>
      <x:c r="B51" s="17" t="str">
        <x:v>7.4.6.7</x:v>
      </x:c>
      <x:c r="C51" s="17" t="str">
        <x:v>Wird für ASICs eine angemessene, besonders wirksame Gruppe von Fehlervermeidungsmaßnahmen eingesetzt und dokumentiert?</x:v>
      </x:c>
      <x:c r="D51" s="20" t="str"/>
      <x:c r="E51" s="20" t="str"/>
      <x:c r="F51" s="18" t="str">
        <x:v>D03, D05</x:v>
      </x:c>
      <x:c r="G51" s="48" t="str">
        <x:v>Nicht geprüft</x:v>
      </x:c>
    </x:row>
    <x:row r="52" ht="74" customHeight="1">
      <x:c r="A52" s="17" t="str">
        <x:v>44</x:v>
      </x:c>
      <x:c r="B52" s="17" t="str">
        <x:v>7.4.7.1</x:v>
      </x:c>
      <x:c r="C52" s="17" t="str">
        <x:v>Enthält der Entwurf Maßnahmen gegen verbleibende Hardware- und Softwareentwurfsfehler, Umwelteinflüsse, Bedienfehler und Kommunikationsfehler gemäß den jeweils referenzierten Tabellen?</x:v>
      </x:c>
      <x:c r="D52" s="20" t="str"/>
      <x:c r="E52" s="20" t="str"/>
      <x:c r="F52" s="18" t="str">
        <x:v>D02, D05, D07</x:v>
      </x:c>
      <x:c r="G52" s="48" t="str">
        <x:v>Nicht geprüft</x:v>
      </x:c>
    </x:row>
    <x:row r="53" ht="74" customHeight="1">
      <x:c r="A53" s="17" t="str">
        <x:v>45</x:v>
      </x:c>
      <x:c r="B53" s="17" t="str">
        <x:v>7.4.7.2</x:v>
      </x:c>
      <x:c r="C53" s="17" t="str">
        <x:v>Sind Instandhaltbarkeit und Testbarkeit während Entwurf und Entwicklung systematisch berücksichtigt?</x:v>
      </x:c>
      <x:c r="D53" s="20" t="str"/>
      <x:c r="E53" s="20" t="str"/>
      <x:c r="F53" s="18" t="str">
        <x:v>D02, D05</x:v>
      </x:c>
      <x:c r="G53" s="48" t="str">
        <x:v>Nicht geprüft</x:v>
      </x:c>
    </x:row>
    <x:row r="54" ht="74" customHeight="1">
      <x:c r="A54" s="17" t="str">
        <x:v>46</x:v>
      </x:c>
      <x:c r="B54" s="17" t="str">
        <x:v>7.4.7.3</x:v>
      </x:c>
      <x:c r="C54" s="17" t="str">
        <x:v>Berücksichtigt der Entwurf menschliche Fähigkeiten und Grenzen sowie ergonomische Grundsätze und den erwarteten Ausbildungsstand des Personals?</x:v>
      </x:c>
      <x:c r="D54" s="20" t="str"/>
      <x:c r="E54" s="20" t="str"/>
      <x:c r="F54" s="18" t="str">
        <x:v>D02, D05</x:v>
      </x:c>
      <x:c r="G54" s="48" t="str">
        <x:v>Nicht geprüft</x:v>
      </x:c>
    </x:row>
    <x:row r="55" ht="74" customHeight="1">
      <x:c r="A55" s="17" t="str">
        <x:v>47</x:v>
      </x:c>
      <x:c r="B55" s="17" t="str">
        <x:v>7.4.8.1</x:v>
      </x:c>
      <x:c r="C55" s="17" t="str">
        <x:v>Führt ein erkannter gefährlicher Fehler bei HFT größer 0 zur spezifizierten sicheren Reaktion oder zur Isolation mit fristgerechter Reparatur und sicherer Rückfallreaktion?</x:v>
      </x:c>
      <x:c r="D55" s="20" t="str"/>
      <x:c r="E55" s="20" t="str"/>
      <x:c r="F55" s="18" t="str">
        <x:v>D02, D05, D07</x:v>
      </x:c>
      <x:c r="G55" s="48" t="str">
        <x:v>Nicht geprüft</x:v>
      </x:c>
    </x:row>
    <x:row r="56" ht="74" customHeight="1">
      <x:c r="A56" s="17" t="str">
        <x:v>48</x:v>
      </x:c>
      <x:c r="B56" s="17" t="str">
        <x:v>7.4.8.2</x:v>
      </x:c>
      <x:c r="C56" s="17" t="str">
        <x:v>Führt ein erkannter gefährlicher Fehler bei HFT 0 und niedriger Anforderungsrate zur sicheren Reaktion oder zu einer innerhalb der MTTR abgesicherten Reparatur mit gleichwertigen Zusatzmaßnahmen?</x:v>
      </x:c>
      <x:c r="D56" s="20" t="str"/>
      <x:c r="E56" s="20" t="str"/>
      <x:c r="F56" s="18" t="str">
        <x:v>D02, D05, D07</x:v>
      </x:c>
      <x:c r="G56" s="48" t="str">
        <x:v>Nicht geprüft</x:v>
      </x:c>
    </x:row>
    <x:row r="57" ht="74" customHeight="1">
      <x:c r="A57" s="17" t="str">
        <x:v>49</x:v>
      </x:c>
      <x:c r="B57" s="17" t="str">
        <x:v>7.4.8.3</x:v>
      </x:c>
      <x:c r="C57" s="17" t="str">
        <x:v>Führt ein erkannter gefährlicher Fehler bei HFT 0 und hoher oder kontinuierlicher Anforderung zwingend zur spezifizierten sicheren Reaktion?</x:v>
      </x:c>
      <x:c r="D57" s="20" t="str"/>
      <x:c r="E57" s="20" t="str"/>
      <x:c r="F57" s="18" t="str">
        <x:v>D02, D05, D07</x:v>
      </x:c>
      <x:c r="G57" s="48" t="str">
        <x:v>Nicht geprüft</x:v>
      </x:c>
    </x:row>
    <x:row r="58" ht="74" customHeight="1">
      <x:c r="A58" s="17" t="str">
        <x:v>50</x:v>
      </x:c>
      <x:c r="B58" s="17" t="str">
        <x:v>7.4.9.1</x:v>
      </x:c>
      <x:c r="C58" s="17" t="str">
        <x:v>Ist das sicherheitsbezogene E/E/PE-System vollständig gemäß der freigegebenen Entwurfsspezifikation implementiert?</x:v>
      </x:c>
      <x:c r="D58" s="20" t="str"/>
      <x:c r="E58" s="20" t="str"/>
      <x:c r="F58" s="18" t="str">
        <x:v>D01, D02, D10</x:v>
      </x:c>
      <x:c r="G58" s="48" t="str">
        <x:v>Nicht geprüft</x:v>
      </x:c>
    </x:row>
    <x:row r="59" ht="74" customHeight="1">
      <x:c r="A59" s="17" t="str">
        <x:v>51</x:v>
      </x:c>
      <x:c r="B59" s="17" t="str">
        <x:v>7.4.9.2</x:v>
      </x:c>
      <x:c r="C59" s="17" t="str">
        <x:v>Sind alle von Sicherheitsfunktionen verwendeten Teilsysteme und Elemente eindeutig identifiziert und als sicherheitsbezogen beschrieben?</x:v>
      </x:c>
      <x:c r="D59" s="20" t="str"/>
      <x:c r="E59" s="20" t="str"/>
      <x:c r="F59" s="18" t="str">
        <x:v>D02, D10</x:v>
      </x:c>
      <x:c r="G59" s="48" t="str">
        <x:v>Nicht geprüft</x:v>
      </x:c>
    </x:row>
    <x:row r="60" ht="74" customHeight="1">
      <x:c r="A60" s="17" t="str">
        <x:v>52</x:v>
      </x:c>
      <x:c r="B60" s="17" t="str">
        <x:v>7.4.9.3</x:v>
      </x:c>
      <x:c r="C60" s="17" t="str">
        <x:v>Sind für jedes sicherheitsbezogene Teilsystem und Element die geforderten Funktions-, Anwendungs-, Eignungs-, Konfigurations- und Verifikationsinformationen verfügbar?</x:v>
      </x:c>
      <x:c r="D60" s="20" t="str"/>
      <x:c r="E60" s="20" t="str"/>
      <x:c r="F60" s="18" t="str">
        <x:v>D02, D10, D12</x:v>
      </x:c>
      <x:c r="G60" s="48" t="str">
        <x:v>Nicht geprüft</x:v>
      </x:c>
    </x:row>
    <x:row r="61" ht="74" customHeight="1">
      <x:c r="A61" s="17" t="str">
        <x:v>53</x:v>
      </x:c>
      <x:c r="B61" s="17" t="str">
        <x:v>7.4.9.4</x:v>
      </x:c>
      <x:c r="C61" s="17" t="str">
        <x:v>Sind für jedes Element mit möglichen zufälligen Hardwareausfällen sämtliche geforderten Ausfallarten, Raten, Diagnose-, Reparatur-, SFF- und HFT-Informationen verfügbar?</x:v>
      </x:c>
      <x:c r="D61" s="20" t="str"/>
      <x:c r="E61" s="20" t="str"/>
      <x:c r="F61" s="18" t="str">
        <x:v>D04, D07, D12</x:v>
      </x:c>
      <x:c r="G61" s="48" t="str">
        <x:v>Nicht geprüft</x:v>
      </x:c>
    </x:row>
    <x:row r="62" ht="74" customHeight="1">
      <x:c r="A62" s="17" t="str">
        <x:v>54</x:v>
      </x:c>
      <x:c r="B62" s="17" t="str">
        <x:v>7.4.9.5</x:v>
      </x:c>
      <x:c r="C62" s="17" t="str">
        <x:v>Sind Ausfallraten aus anerkannter FMEA-Datenbasis oder geeigneter Betriebserfahrung mit ausreichendem Konfidenzniveau und passenden Betriebsbedingungen hergeleitet?</x:v>
      </x:c>
      <x:c r="D62" s="20" t="str"/>
      <x:c r="E62" s="20" t="str"/>
      <x:c r="F62" s="18" t="str">
        <x:v>D04, D07</x:v>
      </x:c>
      <x:c r="G62" s="48" t="str">
        <x:v>Nicht geprüft</x:v>
      </x:c>
    </x:row>
    <x:row r="63" ht="74" customHeight="1">
      <x:c r="A63" s="17" t="str">
        <x:v>55</x:v>
      </x:c>
      <x:c r="B63" s="17" t="str">
        <x:v>7.4.9.6</x:v>
      </x:c>
      <x:c r="C63" s="17" t="str">
        <x:v>Stellt der Lieferant für jedes als IEC-61508-konform beanspruchte Objekt ein Sicherheitshandbuch gemäß Anhang D bereit?</x:v>
      </x:c>
      <x:c r="D63" s="20" t="str"/>
      <x:c r="E63" s="20" t="str"/>
      <x:c r="F63" s="18" t="str">
        <x:v>D11, D12</x:v>
      </x:c>
      <x:c r="G63" s="48" t="str">
        <x:v>Nicht geprüft</x:v>
      </x:c>
    </x:row>
    <x:row r="64" ht="74" customHeight="1">
      <x:c r="A64" s="17" t="str">
        <x:v>56</x:v>
      </x:c>
      <x:c r="B64" s="17" t="str">
        <x:v>7.4.9.7</x:v>
      </x:c>
      <x:c r="C64" s="17" t="str">
        <x:v>Ist jede Angabe und jeder Leistungsanspruch im Sicherheitshandbuch durch zugängliche und für die Beurteilung ausreichende Nachweise begründet?</x:v>
      </x:c>
      <x:c r="D64" s="20" t="str"/>
      <x:c r="E64" s="20" t="str"/>
      <x:c r="F64" s="18" t="str">
        <x:v>D11, D12</x:v>
      </x:c>
      <x:c r="G64" s="48" t="str">
        <x:v>Nicht geprüft</x:v>
      </x:c>
    </x:row>
    <x:row r="65" ht="74" customHeight="1">
      <x:c r="A65" s="17" t="str">
        <x:v>57</x:v>
      </x:c>
      <x:c r="B65" s="17" t="str">
        <x:v>7.4.10.1</x:v>
      </x:c>
      <x:c r="C65" s="17" t="str">
        <x:v>Ist jedes als betriebsbewährt beanspruchte Element funktional klar begrenzt und durch konkrete Betriebserfahrung, Eignungsanalyse und Tests ausreichend belegt?</x:v>
      </x:c>
      <x:c r="D65" s="20" t="str"/>
      <x:c r="E65" s="20" t="str"/>
      <x:c r="F65" s="18" t="str">
        <x:v>D04, D07, D12</x:v>
      </x:c>
      <x:c r="G65" s="48" t="str">
        <x:v>Nicht geprüft</x:v>
      </x:c>
    </x:row>
    <x:row r="66" ht="74" customHeight="1">
      <x:c r="A66" s="17" t="str">
        <x:v>58</x:v>
      </x:c>
      <x:c r="B66" s="17" t="str">
        <x:v>7.4.10.2</x:v>
      </x:c>
      <x:c r="C66" s="17" t="str">
        <x:v>Zeigt der Betriebsbewährungsnachweis die hinreichende Ähnlichkeit der früheren und vorgesehenen Verwendungsbedingungen sowie eine ausreichend geringe gefährliche Ausfallrate?</x:v>
      </x:c>
      <x:c r="D66" s="20" t="str"/>
      <x:c r="E66" s="20" t="str"/>
      <x:c r="F66" s="18" t="str">
        <x:v>D04, D07, D12</x:v>
      </x:c>
      <x:c r="G66" s="48" t="str">
        <x:v>Nicht geprüft</x:v>
      </x:c>
    </x:row>
    <x:row r="67" ht="74" customHeight="1">
      <x:c r="A67" s="17" t="str">
        <x:v>59</x:v>
      </x:c>
      <x:c r="B67" s="17" t="str">
        <x:v>7.4.10.3</x:v>
      </x:c>
      <x:c r="C67" s="17" t="str">
        <x:v>Wurden Unterschiede im Betriebsprofil durch Einflussanalyse, geeignete analytische Methoden und Tests auf ihre Sicherheitswirkung untersucht?</x:v>
      </x:c>
      <x:c r="D67" s="20" t="str"/>
      <x:c r="E67" s="20" t="str"/>
      <x:c r="F67" s="18" t="str">
        <x:v>D04, D07</x:v>
      </x:c>
      <x:c r="G67" s="48" t="str">
        <x:v>Nicht geprüft</x:v>
      </x:c>
    </x:row>
    <x:row r="68" ht="74" customHeight="1">
      <x:c r="A68" s="17" t="str">
        <x:v>60</x:v>
      </x:c>
      <x:c r="B68" s="17" t="str">
        <x:v>7.4.10.4</x:v>
      </x:c>
      <x:c r="C68" s="17" t="str">
        <x:v>Enthält die dokumentierte Rechtfertigung Eignungsanalyse und Tests, Gleichwertigkeitsnachweis einschließlich Einflussanalyse sowie statistischen Nachweis?</x:v>
      </x:c>
      <x:c r="D68" s="20" t="str"/>
      <x:c r="E68" s="20" t="str"/>
      <x:c r="F68" s="18" t="str">
        <x:v>D04, D07, D11</x:v>
      </x:c>
      <x:c r="G68" s="48" t="str">
        <x:v>Nicht geprüft</x:v>
      </x:c>
    </x:row>
    <x:row r="69" ht="74" customHeight="1">
      <x:c r="A69" s="17" t="str">
        <x:v>61</x:v>
      </x:c>
      <x:c r="B69" s="17" t="str">
        <x:v>7.4.10.5</x:v>
      </x:c>
      <x:c r="C69" s="17" t="str">
        <x:v>Wurden Komplexität, erforderliche systematische Eignung und Neuheit des Entwurfs bei Umfang und Detaillierung des Betriebsbewährungsnachweises berücksichtigt?</x:v>
      </x:c>
      <x:c r="D69" s="20" t="str"/>
      <x:c r="E69" s="20" t="str"/>
      <x:c r="F69" s="18" t="str">
        <x:v>D04, D07</x:v>
      </x:c>
      <x:c r="G69" s="48" t="str">
        <x:v>Nicht geprüft</x:v>
      </x:c>
    </x:row>
    <x:row r="70" ht="74" customHeight="1">
      <x:c r="A70" s="17" t="str">
        <x:v>62</x:v>
      </x:c>
      <x:c r="B70" s="17" t="str">
        <x:v>7.4.10.6</x:v>
      </x:c>
      <x:c r="C70" s="17" t="str">
        <x:v>Ist nachgewiesen, dass nicht in die Betriebsbewährung einbezogene Funktionen die Sicherheitsintegrität der verwendeten Funktionen nicht beeinträchtigen können?</x:v>
      </x:c>
      <x:c r="D70" s="20" t="str"/>
      <x:c r="E70" s="20" t="str"/>
      <x:c r="F70" s="18" t="str">
        <x:v>D04, D07</x:v>
      </x:c>
      <x:c r="G70" s="48" t="str">
        <x:v>Nicht geprüft</x:v>
      </x:c>
    </x:row>
    <x:row r="71" ht="74" customHeight="1">
      <x:c r="A71" s="17" t="str">
        <x:v>63</x:v>
      </x:c>
      <x:c r="B71" s="17" t="str">
        <x:v>7.4.10.7</x:v>
      </x:c>
      <x:c r="C71" s="17" t="str">
        <x:v>Ist sichergestellt, dass jede künftige Modifikation eines betriebsbewährten Elements nach 7.8 und IEC 61508-3 behandelt wird?</x:v>
      </x:c>
      <x:c r="D71" s="20" t="str"/>
      <x:c r="E71" s="20" t="str"/>
      <x:c r="F71" s="18" t="str">
        <x:v>D03, D10</x:v>
      </x:c>
      <x:c r="G71" s="48" t="str">
        <x:v>Nicht geprüft</x:v>
      </x:c>
    </x:row>
    <x:row r="72" ht="74" customHeight="1">
      <x:c r="A72" s="17" t="str">
        <x:v>64</x:v>
      </x:c>
      <x:c r="B72" s="17" t="str">
        <x:v>7.4.11.1</x:v>
      </x:c>
      <x:c r="C72" s="17" t="str">
        <x:v>Ist das Ausfallmaß des Datenkommunikationsprozesses unter Einbeziehung von Übertragungsfehlern, Wiederholung, Verlust, Einfügung, Reihenfolgefehlern, Verfälschung, Verzögerung und Masquerade abgeschätzt und in die Funktionsausfallrate einbezogen?</x:v>
      </x:c>
      <x:c r="D72" s="20" t="str"/>
      <x:c r="E72" s="20" t="str"/>
      <x:c r="F72" s="18" t="str">
        <x:v>D04, D07</x:v>
      </x:c>
      <x:c r="G72" s="48" t="str">
        <x:v>Nicht geprüft</x:v>
      </x:c>
    </x:row>
    <x:row r="73" ht="74" customHeight="1">
      <x:c r="A73" s="17" t="str">
        <x:v>65</x:v>
      </x:c>
      <x:c r="B73" s="17" t="str">
        <x:v>7.4.11.2</x:v>
      </x:c>
      <x:c r="C73" s="17" t="str">
        <x:v>Sind die erforderlichen Kommunikationsmaßnahmen normgerecht als weißer Kanal oder als schwarzer Kanal mit sicherheitsbezogenen Endmaßnahmen implementiert und validiert?</x:v>
      </x:c>
      <x:c r="D73" s="20" t="str"/>
      <x:c r="E73" s="20" t="str"/>
      <x:c r="F73" s="18" t="str">
        <x:v>D02, D05, D07</x:v>
      </x:c>
      <x:c r="G73" s="48" t="str">
        <x:v>Nicht geprüft</x:v>
      </x:c>
    </x:row>
  </x:sheetData>
  <x:mergeCells>
    <x:mergeCell ref="A1:G2"/>
    <x:mergeCell ref="A3:G3"/>
  </x:mergeCells>
  <x:dataValidations count="1">
    <x:dataValidation type="list" sqref="G8:G73">
      <x:formula1>"Nicht geprüft,OK,Nicht OK,N. a."</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13" hidden="0" customWidth="1"/>
    <x:col min="3" max="3" width="34" hidden="0" customWidth="1"/>
    <x:col min="4" max="4" width="49" hidden="0" customWidth="1"/>
    <x:col min="5" max="5" width="20" hidden="0" customWidth="1"/>
    <x:col min="6" max="6" width="36" hidden="0" customWidth="1"/>
    <x:col min="7" max="7" width="24" hidden="0" customWidth="1"/>
    <x:col min="8" max="8" width="15" hidden="0" customWidth="1"/>
    <x:col min="9" max="9" width="20" hidden="0" customWidth="1"/>
    <x:col min="10" max="10" width="22" hidden="0" customWidth="1"/>
    <x:col min="11" max="11" width="34" hidden="0" customWidth="1"/>
  </x:cols>
  <x:sheetData>
    <x:row r="1" ht="28" customHeight="1">
      <x:c r="A1" s="4" t="str">
        <x:v>Eingabe- und Ausgabedokumente – Kapitel 7.4</x:v>
      </x:c>
      <x:c r="B1" s="4"/>
      <x:c r="C1" s="4"/>
      <x:c r="D1" s="4"/>
      <x:c r="E1" s="4"/>
      <x:c r="F1" s="4"/>
      <x:c r="G1" s="4"/>
      <x:c r="H1" s="4"/>
      <x:c r="I1" s="4"/>
      <x:c r="J1" s="4"/>
      <x:c r="K1" s="4"/>
    </x:row>
    <x:row r="2" ht="28" customHeight="1">
      <x:c r="A2" s="4"/>
      <x:c r="B2" s="4"/>
      <x:c r="C2" s="4"/>
      <x:c r="D2" s="4"/>
      <x:c r="E2" s="4"/>
      <x:c r="F2" s="4"/>
      <x:c r="G2" s="4"/>
      <x:c r="H2" s="4"/>
      <x:c r="I2" s="4"/>
      <x:c r="J2" s="4"/>
      <x:c r="K2" s="4"/>
    </x:row>
    <x:row r="3" ht="24" customHeight="1">
      <x:c r="A3" s="8" t="str">
        <x:v>Dokumentenregister zur rückverfolgbaren Zuordnung der Reviewnachweise</x:v>
      </x:c>
      <x:c r="B3" s="8"/>
      <x:c r="C3" s="8"/>
      <x:c r="D3" s="8"/>
      <x:c r="E3" s="8"/>
      <x:c r="F3" s="8"/>
      <x:c r="G3" s="8"/>
      <x:c r="H3" s="8"/>
      <x:c r="I3" s="8"/>
      <x:c r="J3" s="8"/>
      <x:c r="K3" s="8"/>
    </x:row>
    <x:row r="5">
      <x:c r="A5" s="49" t="str">
        <x:v>Dokumente</x:v>
      </x:c>
      <x:c r="B5" s="49" t="n">
        <x:f>COUNTA(A8:A19)</x:f>
        <x:v>12</x:v>
      </x:c>
      <x:c r="C5" s="49" t="str">
        <x:v>Eingaben</x:v>
      </x:c>
      <x:c r="D5" s="49" t="n">
        <x:f>COUNTIF(B8:B19,"Eingabe")</x:f>
        <x:v>2</x:v>
      </x:c>
      <x:c r="E5" s="49" t="str">
        <x:v>Ausgaben</x:v>
      </x:c>
      <x:c r="F5" s="49" t="n">
        <x:f>COUNTIF(B8:B19,"Ausgabe")</x:f>
        <x:v>10</x:v>
      </x:c>
      <x:c r="G5" s="49" t="str">
        <x:v>Geprüft / freigegeben</x:v>
      </x:c>
      <x:c r="H5" s="49" t="n">
        <x:f>COUNTIF(I8:I19,"Geprüft / freigegeben")</x:f>
        <x:v>0</x:v>
      </x:c>
      <x:c r="I5" s="49" t="str">
        <x:v>Nicht vorgelegt</x:v>
      </x:c>
      <x:c r="J5" s="49" t="n">
        <x:f>COUNTIF(I8:I19,"Nicht vorgelegt")</x:f>
        <x:v>12</x:v>
      </x:c>
      <x:c r="K5" s="49" t="str"/>
    </x:row>
    <x:row r="7">
      <x:c r="A7" s="47" t="str">
        <x:v>ID</x:v>
      </x:c>
      <x:c r="B7" s="47" t="str">
        <x:v>Art</x:v>
      </x:c>
      <x:c r="C7" s="47" t="str">
        <x:v>Normbegriff / Dokument</x:v>
      </x:c>
      <x:c r="D7" s="47" t="str">
        <x:v>Funktion / erwarteter Inhalt</x:v>
      </x:c>
      <x:c r="E7" s="47" t="str">
        <x:v>Bezug Prüfpunkt</x:v>
      </x:c>
      <x:c r="F7" s="47" t="str">
        <x:v>Normreferenz</x:v>
      </x:c>
      <x:c r="G7" s="47" t="str">
        <x:v>Dokumentkennung / Referenz</x:v>
      </x:c>
      <x:c r="H7" s="47" t="str">
        <x:v>Version / Index</x:v>
      </x:c>
      <x:c r="I7" s="47" t="str">
        <x:v>Status</x:v>
      </x:c>
      <x:c r="J7" s="47" t="str">
        <x:v>Verantwortlich</x:v>
      </x:c>
      <x:c r="K7" s="47" t="str">
        <x:v>Ablageort / Bemerkung</x:v>
      </x:c>
    </x:row>
    <x:row r="8" ht="64" customHeight="1">
      <x:c r="A8" s="17" t="str">
        <x:v>D01</x:v>
      </x:c>
      <x:c r="B8" s="17" t="str">
        <x:v>Eingabe</x:v>
      </x:c>
      <x:c r="C8" s="17" t="str">
        <x:v>Spezifikation der Anforderungen an den Entwurf</x:v>
      </x:c>
      <x:c r="D8" s="17" t="str">
        <x:v>Enthält den für Entwurf und Entwicklung des E/E/PE-Systems erforderlichen, freigegebenen und rückverfolgbaren Nachweis.</x:v>
      </x:c>
      <x:c r="E8" s="17" t="str">
        <x:v>siehe Reviewblatt</x:v>
      </x:c>
      <x:c r="F8" s="17" t="str">
        <x:v>IEC 61508-2, 7.4.1</x:v>
      </x:c>
      <x:c r="G8" s="20" t="str"/>
      <x:c r="H8" s="20" t="str"/>
      <x:c r="I8" s="20" t="str">
        <x:v>Nicht vorgelegt</x:v>
      </x:c>
      <x:c r="J8" s="20" t="str"/>
      <x:c r="K8" s="20" t="str"/>
    </x:row>
    <x:row r="9" ht="64" customHeight="1">
      <x:c r="A9" s="17" t="str">
        <x:v>D02</x:v>
      </x:c>
      <x:c r="B9" s="17" t="str">
        <x:v>Eingabe</x:v>
      </x:c>
      <x:c r="C9" s="17" t="str">
        <x:v>System- und Hardwarearchitektur</x:v>
      </x:c>
      <x:c r="D9" s="17" t="str">
        <x:v>Enthält den für Entwurf und Entwicklung des E/E/PE-Systems erforderlichen, freigegebenen und rückverfolgbaren Nachweis.</x:v>
      </x:c>
      <x:c r="E9" s="17" t="str">
        <x:v>siehe Reviewblatt</x:v>
      </x:c>
      <x:c r="F9" s="17" t="str">
        <x:v>IEC 61508-2, 7.4.2</x:v>
      </x:c>
      <x:c r="G9" s="20" t="str"/>
      <x:c r="H9" s="20" t="str"/>
      <x:c r="I9" s="20" t="str">
        <x:v>Nicht vorgelegt</x:v>
      </x:c>
      <x:c r="J9" s="20" t="str"/>
      <x:c r="K9" s="20" t="str"/>
    </x:row>
    <x:row r="10" ht="64" customHeight="1">
      <x:c r="A10" s="17" t="str">
        <x:v>D03</x:v>
      </x:c>
      <x:c r="B10" s="17" t="str">
        <x:v>Ausgabe</x:v>
      </x:c>
      <x:c r="C10" s="17" t="str">
        <x:v>Entwicklungs- und Sicherheitsplan</x:v>
      </x:c>
      <x:c r="D10" s="17" t="str">
        <x:v>Enthält den für Entwurf und Entwicklung des E/E/PE-Systems erforderlichen, freigegebenen und rückverfolgbaren Nachweis.</x:v>
      </x:c>
      <x:c r="E10" s="17" t="str">
        <x:v>siehe Reviewblatt</x:v>
      </x:c>
      <x:c r="F10" s="17" t="str">
        <x:v>IEC 61508-2, 7.4.2</x:v>
      </x:c>
      <x:c r="G10" s="20" t="str"/>
      <x:c r="H10" s="20" t="str"/>
      <x:c r="I10" s="20" t="str">
        <x:v>Nicht vorgelegt</x:v>
      </x:c>
      <x:c r="J10" s="20" t="str"/>
      <x:c r="K10" s="20" t="str"/>
    </x:row>
    <x:row r="11" ht="64" customHeight="1">
      <x:c r="A11" s="17" t="str">
        <x:v>D04</x:v>
      </x:c>
      <x:c r="B11" s="17" t="str">
        <x:v>Ausgabe</x:v>
      </x:c>
      <x:c r="C11" s="17" t="str">
        <x:v>Sicherheits- und Zuverlässigkeitsanalysen</x:v>
      </x:c>
      <x:c r="D11" s="17" t="str">
        <x:v>Enthält den für Entwurf und Entwicklung des E/E/PE-Systems erforderlichen, freigegebenen und rückverfolgbaren Nachweis.</x:v>
      </x:c>
      <x:c r="E11" s="17" t="str">
        <x:v>siehe Reviewblatt</x:v>
      </x:c>
      <x:c r="F11" s="17" t="str">
        <x:v>IEC 61508-2, 7.4.2</x:v>
      </x:c>
      <x:c r="G11" s="20" t="str"/>
      <x:c r="H11" s="20" t="str"/>
      <x:c r="I11" s="20" t="str">
        <x:v>Nicht vorgelegt</x:v>
      </x:c>
      <x:c r="J11" s="20" t="str"/>
      <x:c r="K11" s="20" t="str"/>
    </x:row>
    <x:row r="12" ht="64" customHeight="1">
      <x:c r="A12" s="17" t="str">
        <x:v>D05</x:v>
      </x:c>
      <x:c r="B12" s="17" t="str">
        <x:v>Ausgabe</x:v>
      </x:c>
      <x:c r="C12" s="17" t="str">
        <x:v>Verfahrens- und Maßnahmenbegründung</x:v>
      </x:c>
      <x:c r="D12" s="17" t="str">
        <x:v>Enthält den für Entwurf und Entwicklung des E/E/PE-Systems erforderlichen, freigegebenen und rückverfolgbaren Nachweis.</x:v>
      </x:c>
      <x:c r="E12" s="17" t="str">
        <x:v>siehe Reviewblatt</x:v>
      </x:c>
      <x:c r="F12" s="17" t="str">
        <x:v>IEC 61508-2, 7.4.2</x:v>
      </x:c>
      <x:c r="G12" s="20" t="str"/>
      <x:c r="H12" s="20" t="str"/>
      <x:c r="I12" s="20" t="str">
        <x:v>Nicht vorgelegt</x:v>
      </x:c>
      <x:c r="J12" s="20" t="str"/>
      <x:c r="K12" s="20" t="str"/>
    </x:row>
    <x:row r="13" ht="64" customHeight="1">
      <x:c r="A13" s="17" t="str">
        <x:v>D06</x:v>
      </x:c>
      <x:c r="B13" s="17" t="str">
        <x:v>Ausgabe</x:v>
      </x:c>
      <x:c r="C13" s="17" t="str">
        <x:v>Integrations- und Testspezifikation</x:v>
      </x:c>
      <x:c r="D13" s="17" t="str">
        <x:v>Enthält den für Entwurf und Entwicklung des E/E/PE-Systems erforderlichen, freigegebenen und rückverfolgbaren Nachweis.</x:v>
      </x:c>
      <x:c r="E13" s="17" t="str">
        <x:v>siehe Reviewblatt</x:v>
      </x:c>
      <x:c r="F13" s="17" t="str">
        <x:v>IEC 61508-2, 7.4.2</x:v>
      </x:c>
      <x:c r="G13" s="20" t="str"/>
      <x:c r="H13" s="20" t="str"/>
      <x:c r="I13" s="20" t="str">
        <x:v>Nicht vorgelegt</x:v>
      </x:c>
      <x:c r="J13" s="20" t="str"/>
      <x:c r="K13" s="20" t="str"/>
    </x:row>
    <x:row r="14" ht="64" customHeight="1">
      <x:c r="A14" s="17" t="str">
        <x:v>D07</x:v>
      </x:c>
      <x:c r="B14" s="17" t="str">
        <x:v>Ausgabe</x:v>
      </x:c>
      <x:c r="C14" s="17" t="str">
        <x:v>Berechnungs- und Analyseberichte</x:v>
      </x:c>
      <x:c r="D14" s="17" t="str">
        <x:v>Enthält den für Entwurf und Entwicklung des E/E/PE-Systems erforderlichen, freigegebenen und rückverfolgbaren Nachweis.</x:v>
      </x:c>
      <x:c r="E14" s="17" t="str">
        <x:v>siehe Reviewblatt</x:v>
      </x:c>
      <x:c r="F14" s="17" t="str">
        <x:v>IEC 61508-2, 7.4.2</x:v>
      </x:c>
      <x:c r="G14" s="20" t="str"/>
      <x:c r="H14" s="20" t="str"/>
      <x:c r="I14" s="20" t="str">
        <x:v>Nicht vorgelegt</x:v>
      </x:c>
      <x:c r="J14" s="20" t="str"/>
      <x:c r="K14" s="20" t="str"/>
    </x:row>
    <x:row r="15" ht="64" customHeight="1">
      <x:c r="A15" s="17" t="str">
        <x:v>D08</x:v>
      </x:c>
      <x:c r="B15" s="17" t="str">
        <x:v>Ausgabe</x:v>
      </x:c>
      <x:c r="C15" s="17" t="str">
        <x:v>Abweichungs- und Änderungsnachweise</x:v>
      </x:c>
      <x:c r="D15" s="17" t="str">
        <x:v>Enthält den für Entwurf und Entwicklung des E/E/PE-Systems erforderlichen, freigegebenen und rückverfolgbaren Nachweis.</x:v>
      </x:c>
      <x:c r="E15" s="17" t="str">
        <x:v>siehe Reviewblatt</x:v>
      </x:c>
      <x:c r="F15" s="17" t="str">
        <x:v>IEC 61508-2, 7.4.2</x:v>
      </x:c>
      <x:c r="G15" s="20" t="str"/>
      <x:c r="H15" s="20" t="str"/>
      <x:c r="I15" s="20" t="str">
        <x:v>Nicht vorgelegt</x:v>
      </x:c>
      <x:c r="J15" s="20" t="str"/>
      <x:c r="K15" s="20" t="str"/>
    </x:row>
    <x:row r="16" ht="64" customHeight="1">
      <x:c r="A16" s="17" t="str">
        <x:v>D09</x:v>
      </x:c>
      <x:c r="B16" s="17" t="str">
        <x:v>Ausgabe</x:v>
      </x:c>
      <x:c r="C16" s="17" t="str">
        <x:v>Werkzeug- und Prüfmittelregister</x:v>
      </x:c>
      <x:c r="D16" s="17" t="str">
        <x:v>Enthält den für Entwurf und Entwicklung des E/E/PE-Systems erforderlichen, freigegebenen und rückverfolgbaren Nachweis.</x:v>
      </x:c>
      <x:c r="E16" s="17" t="str">
        <x:v>siehe Reviewblatt</x:v>
      </x:c>
      <x:c r="F16" s="17" t="str">
        <x:v>IEC 61508-2, 7.4.2</x:v>
      </x:c>
      <x:c r="G16" s="20" t="str"/>
      <x:c r="H16" s="20" t="str"/>
      <x:c r="I16" s="20" t="str">
        <x:v>Nicht vorgelegt</x:v>
      </x:c>
      <x:c r="J16" s="20" t="str"/>
      <x:c r="K16" s="20" t="str"/>
    </x:row>
    <x:row r="17" ht="64" customHeight="1">
      <x:c r="A17" s="17" t="str">
        <x:v>D10</x:v>
      </x:c>
      <x:c r="B17" s="17" t="str">
        <x:v>Ausgabe</x:v>
      </x:c>
      <x:c r="C17" s="17" t="str">
        <x:v>Konfigurations- und Implementierungsnachweis</x:v>
      </x:c>
      <x:c r="D17" s="17" t="str">
        <x:v>Enthält den für Entwurf und Entwicklung des E/E/PE-Systems erforderlichen, freigegebenen und rückverfolgbaren Nachweis.</x:v>
      </x:c>
      <x:c r="E17" s="17" t="str">
        <x:v>siehe Reviewblatt</x:v>
      </x:c>
      <x:c r="F17" s="17" t="str">
        <x:v>IEC 61508-2, 7.4.2</x:v>
      </x:c>
      <x:c r="G17" s="20" t="str"/>
      <x:c r="H17" s="20" t="str"/>
      <x:c r="I17" s="20" t="str">
        <x:v>Nicht vorgelegt</x:v>
      </x:c>
      <x:c r="J17" s="20" t="str"/>
      <x:c r="K17" s="20" t="str"/>
    </x:row>
    <x:row r="18" ht="64" customHeight="1">
      <x:c r="A18" s="17" t="str">
        <x:v>D11</x:v>
      </x:c>
      <x:c r="B18" s="17" t="str">
        <x:v>Ausgabe</x:v>
      </x:c>
      <x:c r="C18" s="17" t="str">
        <x:v>Freigabe- und Reviewnachweise</x:v>
      </x:c>
      <x:c r="D18" s="17" t="str">
        <x:v>Enthält den für Entwurf und Entwicklung des E/E/PE-Systems erforderlichen, freigegebenen und rückverfolgbaren Nachweis.</x:v>
      </x:c>
      <x:c r="E18" s="17" t="str">
        <x:v>siehe Reviewblatt</x:v>
      </x:c>
      <x:c r="F18" s="17" t="str">
        <x:v>IEC 61508-2, 7.4.2</x:v>
      </x:c>
      <x:c r="G18" s="20" t="str"/>
      <x:c r="H18" s="20" t="str"/>
      <x:c r="I18" s="20" t="str">
        <x:v>Nicht vorgelegt</x:v>
      </x:c>
      <x:c r="J18" s="20" t="str"/>
      <x:c r="K18" s="20" t="str"/>
    </x:row>
    <x:row r="19" ht="64" customHeight="1">
      <x:c r="A19" s="17" t="str">
        <x:v>D12</x:v>
      </x:c>
      <x:c r="B19" s="17" t="str">
        <x:v>Ausgabe</x:v>
      </x:c>
      <x:c r="C19" s="17" t="str">
        <x:v>Sicherheitshandbücher konformer Objekte</x:v>
      </x:c>
      <x:c r="D19" s="17" t="str">
        <x:v>Enthält den für Entwurf und Entwicklung des E/E/PE-Systems erforderlichen, freigegebenen und rückverfolgbaren Nachweis.</x:v>
      </x:c>
      <x:c r="E19" s="17" t="str">
        <x:v>siehe Reviewblatt</x:v>
      </x:c>
      <x:c r="F19" s="17" t="str">
        <x:v>IEC 61508-2, 7.4.2</x:v>
      </x:c>
      <x:c r="G19" s="20" t="str"/>
      <x:c r="H19" s="20" t="str"/>
      <x:c r="I19" s="20" t="str">
        <x:v>Nicht vorgelegt</x:v>
      </x:c>
      <x:c r="J19" s="20" t="str"/>
      <x:c r="K19" s="20" t="str"/>
    </x:row>
  </x:sheetData>
  <x:mergeCells>
    <x:mergeCell ref="A1:K2"/>
    <x:mergeCell ref="A3:K3"/>
  </x:mergeCells>
  <x:dataValidations count="1">
    <x:dataValidation type="list" sqref="I8:I19">
      <x:formula1>"Nicht vorgelegt,In Prüfung,Geprüft / freigegeben,Nicht anwendbar"</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3" hidden="0" customWidth="1"/>
    <x:col min="3" max="3" width="58" hidden="0" customWidth="1"/>
    <x:col min="4" max="4" width="20" hidden="0" customWidth="1"/>
    <x:col min="5" max="5" width="24" hidden="0" customWidth="1"/>
    <x:col min="6" max="6" width="16" hidden="0" customWidth="1"/>
    <x:col min="7" max="7" width="18" hidden="0" customWidth="1"/>
  </x:cols>
  <x:sheetData>
    <x:row r="1" ht="28" customHeight="1">
      <x:c r="A1" s="4" t="str">
        <x:v>Review-Ergebnisse und durchzuführende Maßnahmen</x:v>
      </x:c>
      <x:c r="B1" s="4"/>
      <x:c r="C1" s="4"/>
      <x:c r="D1" s="4"/>
      <x:c r="E1" s="4"/>
      <x:c r="F1" s="4"/>
      <x:c r="G1" s="4"/>
    </x:row>
    <x:row r="2" ht="28" customHeight="1">
      <x:c r="A2" s="4"/>
      <x:c r="B2" s="4"/>
      <x:c r="C2" s="4"/>
      <x:c r="D2" s="4"/>
      <x:c r="E2" s="4"/>
      <x:c r="F2" s="4"/>
      <x:c r="G2" s="4"/>
    </x:row>
    <x:row r="3" ht="24" customHeight="1">
      <x:c r="A3" s="8" t="str">
        <x:v>A = Aufgabe · I = Information · B = Beschluss. Direkter Rückverfolgungsbezug zu Review 7.4.</x:v>
      </x:c>
      <x:c r="B3" s="8"/>
      <x:c r="C3" s="8"/>
      <x:c r="D3" s="8"/>
      <x:c r="E3" s="8"/>
      <x:c r="F3" s="8"/>
      <x:c r="G3" s="8"/>
    </x:row>
    <x:row r="5">
      <x:c r="A5" s="47" t="str">
        <x:v>ID</x:v>
      </x:c>
      <x:c r="B5" s="47" t="str">
        <x:v>Typ</x:v>
      </x:c>
      <x:c r="C5" s="47" t="str">
        <x:v>Review-Ergebnis / Maßnahme</x:v>
      </x:c>
      <x:c r="D5" s="47" t="str">
        <x:v>Bezug Prüfpunkt</x:v>
      </x:c>
      <x:c r="E5" s="47" t="str">
        <x:v>Verantwortlich</x:v>
      </x:c>
      <x:c r="F5" s="47" t="str">
        <x:v>Fällig am</x:v>
      </x:c>
      <x:c r="G5" s="47" t="str">
        <x:v>Status</x:v>
      </x:c>
    </x:row>
    <x:row r="6" ht="42" customHeight="1">
      <x:c r="A6" s="17" t="str">
        <x:v>M-01</x:v>
      </x:c>
      <x:c r="B6" s="20" t="str"/>
      <x:c r="C6" s="20" t="str"/>
      <x:c r="D6" s="20" t="str"/>
      <x:c r="E6" s="20" t="str"/>
      <x:c r="F6" s="20" t="str"/>
      <x:c r="G6" s="17" t="str">
        <x:v>Offen</x:v>
      </x:c>
    </x:row>
    <x:row r="7" ht="42" customHeight="1">
      <x:c r="A7" s="17" t="str">
        <x:v>M-02</x:v>
      </x:c>
      <x:c r="B7" s="20" t="str"/>
      <x:c r="C7" s="20" t="str"/>
      <x:c r="D7" s="20" t="str"/>
      <x:c r="E7" s="20" t="str"/>
      <x:c r="F7" s="20" t="str"/>
      <x:c r="G7" s="17" t="str">
        <x:v>Offen</x:v>
      </x:c>
    </x:row>
    <x:row r="8" ht="42" customHeight="1">
      <x:c r="A8" s="17" t="str">
        <x:v>M-03</x:v>
      </x:c>
      <x:c r="B8" s="20" t="str"/>
      <x:c r="C8" s="20" t="str"/>
      <x:c r="D8" s="20" t="str"/>
      <x:c r="E8" s="20" t="str"/>
      <x:c r="F8" s="20" t="str"/>
      <x:c r="G8" s="17" t="str">
        <x:v>Offen</x:v>
      </x:c>
    </x:row>
    <x:row r="9" ht="42" customHeight="1">
      <x:c r="A9" s="17" t="str">
        <x:v>M-04</x:v>
      </x:c>
      <x:c r="B9" s="20" t="str"/>
      <x:c r="C9" s="20" t="str"/>
      <x:c r="D9" s="20" t="str"/>
      <x:c r="E9" s="20" t="str"/>
      <x:c r="F9" s="20" t="str"/>
      <x:c r="G9" s="17" t="str">
        <x:v>Offen</x:v>
      </x:c>
    </x:row>
    <x:row r="10" ht="42" customHeight="1">
      <x:c r="A10" s="17" t="str">
        <x:v>M-05</x:v>
      </x:c>
      <x:c r="B10" s="20" t="str"/>
      <x:c r="C10" s="20" t="str"/>
      <x:c r="D10" s="20" t="str"/>
      <x:c r="E10" s="20" t="str"/>
      <x:c r="F10" s="20" t="str"/>
      <x:c r="G10" s="17" t="str">
        <x:v>Offen</x:v>
      </x:c>
    </x:row>
    <x:row r="11" ht="42" customHeight="1">
      <x:c r="A11" s="17" t="str">
        <x:v>M-06</x:v>
      </x:c>
      <x:c r="B11" s="20" t="str"/>
      <x:c r="C11" s="20" t="str"/>
      <x:c r="D11" s="20" t="str"/>
      <x:c r="E11" s="20" t="str"/>
      <x:c r="F11" s="20" t="str"/>
      <x:c r="G11" s="17" t="str">
        <x:v>Offen</x:v>
      </x:c>
    </x:row>
    <x:row r="12" ht="42" customHeight="1">
      <x:c r="A12" s="17" t="str">
        <x:v>M-07</x:v>
      </x:c>
      <x:c r="B12" s="20" t="str"/>
      <x:c r="C12" s="20" t="str"/>
      <x:c r="D12" s="20" t="str"/>
      <x:c r="E12" s="20" t="str"/>
      <x:c r="F12" s="20" t="str"/>
      <x:c r="G12" s="17" t="str">
        <x:v>Offen</x:v>
      </x:c>
    </x:row>
    <x:row r="13" ht="42" customHeight="1">
      <x:c r="A13" s="17" t="str">
        <x:v>M-08</x:v>
      </x:c>
      <x:c r="B13" s="20" t="str"/>
      <x:c r="C13" s="20" t="str"/>
      <x:c r="D13" s="20" t="str"/>
      <x:c r="E13" s="20" t="str"/>
      <x:c r="F13" s="20" t="str"/>
      <x:c r="G13" s="17" t="str">
        <x:v>Offen</x:v>
      </x:c>
    </x:row>
    <x:row r="14" ht="42" customHeight="1">
      <x:c r="A14" s="17" t="str">
        <x:v>M-09</x:v>
      </x:c>
      <x:c r="B14" s="20" t="str"/>
      <x:c r="C14" s="20" t="str"/>
      <x:c r="D14" s="20" t="str"/>
      <x:c r="E14" s="20" t="str"/>
      <x:c r="F14" s="20" t="str"/>
      <x:c r="G14" s="17" t="str">
        <x:v>Offen</x:v>
      </x:c>
    </x:row>
    <x:row r="15" ht="42" customHeight="1">
      <x:c r="A15" s="17" t="str">
        <x:v>M-10</x:v>
      </x:c>
      <x:c r="B15" s="20" t="str"/>
      <x:c r="C15" s="20" t="str"/>
      <x:c r="D15" s="20" t="str"/>
      <x:c r="E15" s="20" t="str"/>
      <x:c r="F15" s="20" t="str"/>
      <x:c r="G15" s="17" t="str">
        <x:v>Offen</x:v>
      </x:c>
    </x:row>
    <x:row r="16" ht="42" customHeight="1">
      <x:c r="A16" s="17" t="str">
        <x:v>M-11</x:v>
      </x:c>
      <x:c r="B16" s="20" t="str"/>
      <x:c r="C16" s="20" t="str"/>
      <x:c r="D16" s="20" t="str"/>
      <x:c r="E16" s="20" t="str"/>
      <x:c r="F16" s="20" t="str"/>
      <x:c r="G16" s="17" t="str">
        <x:v>Offen</x:v>
      </x:c>
    </x:row>
    <x:row r="17" ht="42" customHeight="1">
      <x:c r="A17" s="17" t="str">
        <x:v>M-12</x:v>
      </x:c>
      <x:c r="B17" s="20" t="str"/>
      <x:c r="C17" s="20" t="str"/>
      <x:c r="D17" s="20" t="str"/>
      <x:c r="E17" s="20" t="str"/>
      <x:c r="F17" s="20" t="str"/>
      <x:c r="G17" s="17" t="str">
        <x:v>Offen</x:v>
      </x:c>
    </x:row>
    <x:row r="18" ht="42" customHeight="1">
      <x:c r="A18" s="17" t="str">
        <x:v>M-13</x:v>
      </x:c>
      <x:c r="B18" s="20" t="str"/>
      <x:c r="C18" s="20" t="str"/>
      <x:c r="D18" s="20" t="str"/>
      <x:c r="E18" s="20" t="str"/>
      <x:c r="F18" s="20" t="str"/>
      <x:c r="G18" s="17" t="str">
        <x:v>Offen</x:v>
      </x:c>
    </x:row>
    <x:row r="19" ht="42" customHeight="1">
      <x:c r="A19" s="17" t="str">
        <x:v>M-14</x:v>
      </x:c>
      <x:c r="B19" s="20" t="str"/>
      <x:c r="C19" s="20" t="str"/>
      <x:c r="D19" s="20" t="str"/>
      <x:c r="E19" s="20" t="str"/>
      <x:c r="F19" s="20" t="str"/>
      <x:c r="G19" s="17" t="str">
        <x:v>Offen</x:v>
      </x:c>
    </x:row>
    <x:row r="20" ht="42" customHeight="1">
      <x:c r="A20" s="17" t="str">
        <x:v>M-15</x:v>
      </x:c>
      <x:c r="B20" s="20" t="str"/>
      <x:c r="C20" s="20" t="str"/>
      <x:c r="D20" s="20" t="str"/>
      <x:c r="E20" s="20" t="str"/>
      <x:c r="F20" s="20" t="str"/>
      <x:c r="G20" s="17" t="str">
        <x:v>Offen</x:v>
      </x:c>
    </x:row>
    <x:row r="21" ht="42" customHeight="1">
      <x:c r="A21" s="17" t="str">
        <x:v>M-16</x:v>
      </x:c>
      <x:c r="B21" s="20" t="str"/>
      <x:c r="C21" s="20" t="str"/>
      <x:c r="D21" s="20" t="str"/>
      <x:c r="E21" s="20" t="str"/>
      <x:c r="F21" s="20" t="str"/>
      <x:c r="G21" s="17" t="str">
        <x:v>Offen</x:v>
      </x:c>
    </x:row>
    <x:row r="22" ht="42" customHeight="1">
      <x:c r="A22" s="17" t="str">
        <x:v>M-17</x:v>
      </x:c>
      <x:c r="B22" s="20" t="str"/>
      <x:c r="C22" s="20" t="str"/>
      <x:c r="D22" s="20" t="str"/>
      <x:c r="E22" s="20" t="str"/>
      <x:c r="F22" s="20" t="str"/>
      <x:c r="G22" s="17" t="str">
        <x:v>Offen</x:v>
      </x:c>
    </x:row>
    <x:row r="23" ht="42" customHeight="1">
      <x:c r="A23" s="17" t="str">
        <x:v>M-18</x:v>
      </x:c>
      <x:c r="B23" s="20" t="str"/>
      <x:c r="C23" s="20" t="str"/>
      <x:c r="D23" s="20" t="str"/>
      <x:c r="E23" s="20" t="str"/>
      <x:c r="F23" s="20" t="str"/>
      <x:c r="G23" s="17" t="str">
        <x:v>Offen</x:v>
      </x:c>
    </x:row>
    <x:row r="24" ht="42" customHeight="1">
      <x:c r="A24" s="17" t="str">
        <x:v>M-19</x:v>
      </x:c>
      <x:c r="B24" s="20" t="str"/>
      <x:c r="C24" s="20" t="str"/>
      <x:c r="D24" s="20" t="str"/>
      <x:c r="E24" s="20" t="str"/>
      <x:c r="F24" s="20" t="str"/>
      <x:c r="G24" s="17" t="str">
        <x:v>Offen</x:v>
      </x:c>
    </x:row>
    <x:row r="25" ht="42" customHeight="1">
      <x:c r="A25" s="17" t="str">
        <x:v>M-20</x:v>
      </x:c>
      <x:c r="B25" s="20" t="str"/>
      <x:c r="C25" s="20" t="str"/>
      <x:c r="D25" s="20" t="str"/>
      <x:c r="E25" s="20" t="str"/>
      <x:c r="F25" s="20" t="str"/>
      <x:c r="G25" s="17" t="str">
        <x:v>Offen</x:v>
      </x:c>
    </x:row>
  </x:sheetData>
  <x:mergeCells>
    <x:mergeCell ref="A1:G2"/>
    <x:mergeCell ref="A3:G3"/>
  </x:mergeCells>
  <x:dataValidations count="2">
    <x:dataValidation type="list" sqref="B6:B25">
      <x:formula1>"A,I,B"</x:formula1>
    </x:dataValidation>
    <x:dataValidation type="list" sqref="G6:G25">
      <x:formula1>"Offen,In Bearbeitung,Erledigt,Entfällt"</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54" hidden="0" customWidth="1"/>
    <x:col min="4" max="4" width="45" hidden="0" customWidth="1"/>
  </x:cols>
  <x:sheetData>
    <x:row r="1" ht="28" customHeight="1">
      <x:c r="A1" s="4" t="str">
        <x:v>Legende und Anwendungshinweise</x:v>
      </x:c>
      <x:c r="B1" s="4"/>
      <x:c r="C1" s="4"/>
      <x:c r="D1" s="4"/>
    </x:row>
    <x:row r="2" ht="28" customHeight="1">
      <x:c r="A2" s="4"/>
      <x:c r="B2" s="4"/>
      <x:c r="C2" s="4"/>
      <x:c r="D2" s="4"/>
    </x:row>
    <x:row r="3" ht="24" customHeight="1">
      <x:c r="A3" s="8" t="str">
        <x:v>Anwendung für IEC 61508-2, Kapitel 7.4</x:v>
      </x:c>
      <x:c r="B3" s="8"/>
      <x:c r="C3" s="8"/>
      <x:c r="D3" s="8"/>
    </x:row>
    <x:row r="5">
      <x:c r="A5" s="47" t="str">
        <x:v>Prüfpunktarten in IEC 61508-2, Kapitel 7.4</x:v>
      </x:c>
      <x:c r="B5" s="47" t="str">
        <x:v>Empfehlungsgrade nach IEC 61508</x:v>
      </x:c>
      <x:c r="C5" s="47" t="str"/>
      <x:c r="D5" s="47" t="str"/>
    </x:row>
    <x:row r="6">
      <x:c r="A6" s="47" t="str">
        <x:v>Kennzeichen</x:v>
      </x:c>
      <x:c r="B6" s="47" t="str">
        <x:v>Bedeutung</x:v>
      </x:c>
      <x:c r="C6" s="47" t="str">
        <x:v>Anwendung im Review</x:v>
      </x:c>
      <x:c r="D6" s="47" t="str">
        <x:v>Geltungsbereich</x:v>
      </x:c>
    </x:row>
    <x:row r="7" ht="52" customHeight="1">
      <x:c r="A7" s="17" t="str">
        <x:v>A</x:v>
      </x:c>
      <x:c r="B7" s="17" t="str">
        <x:v>Verbindliche Anforderung</x:v>
      </x:c>
      <x:c r="C7" s="17" t="str">
        <x:v>Erfüllung anhand eines konkreten, freigegebenen Nachweises bewerten.</x:v>
      </x:c>
      <x:c r="D7" s="17" t="str">
        <x:v>IEC 61508-2, 7.4.2</x:v>
      </x:c>
    </x:row>
    <x:row r="8" ht="52" customHeight="1">
      <x:c r="A8" s="17" t="str">
        <x:v>Z</x:v>
      </x:c>
      <x:c r="B8" s="17" t="str">
        <x:v>Ziel des Unterabschnitts</x:v>
      </x:c>
      <x:c r="C8" s="17" t="str">
        <x:v>Prüfen, ob die geforderte technische Wirkung vollständig erreicht wird.</x:v>
      </x:c>
      <x:c r="D8" s="17" t="str">
        <x:v>IEC 61508-2, 7.4.1</x:v>
      </x:c>
    </x:row>
    <x:row r="9" ht="52" customHeight="1">
      <x:c r="A9" s="17" t="str">
        <x:v>I</x:v>
      </x:c>
      <x:c r="B9" s="17" t="str">
        <x:v>Informative Anmerkung</x:v>
      </x:c>
      <x:c r="C9" s="17" t="str">
        <x:v>Als Auslegungshilfe verwenden; nicht als eigenständige Muss-Anforderung behandeln.</x:v>
      </x:c>
      <x:c r="D9" s="17" t="str">
        <x:v>Anmerkungen zu 7.4</x:v>
      </x:c>
    </x:row>
    <x:row r="10" ht="52" customHeight="1"/>
    <x:row r="11" ht="52" customHeight="1">
      <x:c r="A11" s="47" t="str">
        <x:v>Arbeitsweise</x:v>
      </x:c>
      <x:c r="B11" s="47" t="str"/>
      <x:c r="C11" s="47" t="str"/>
      <x:c r="D11" s="47" t="str"/>
    </x:row>
    <x:row r="12" ht="52" customHeight="1">
      <x:c r="A12" s="47" t="str">
        <x:v>Schritt</x:v>
      </x:c>
      <x:c r="B12" s="47" t="str">
        <x:v>Vorgehen</x:v>
      </x:c>
      <x:c r="C12" s="47" t="str">
        <x:v>Dokumentation</x:v>
      </x:c>
      <x:c r="D12" s="47" t="str">
        <x:v>Hinweis</x:v>
      </x:c>
    </x:row>
    <x:row r="13" ht="52" customHeight="1">
      <x:c r="A13" s="17" t="str">
        <x:v>1</x:v>
      </x:c>
      <x:c r="B13" s="17" t="str">
        <x:v>Reviewdaten auf Übersicht ausfüllen.</x:v>
      </x:c>
      <x:c r="C13" s="17" t="str">
        <x:v>Projekt, Dokument, SIL, Teilnehmer und Termin erfassen.</x:v>
      </x:c>
      <x:c r="D13" s="17" t="str">
        <x:v>Gelbe Zellen sind Eingabefelder.</x:v>
      </x:c>
    </x:row>
    <x:row r="14" ht="52" customHeight="1">
      <x:c r="A14" s="17" t="str">
        <x:v>2</x:v>
      </x:c>
      <x:c r="B14" s="17" t="str">
        <x:v>Dokumente registrieren.</x:v>
      </x:c>
      <x:c r="C14" s="17" t="str">
        <x:v>Kennung, Version, Status, Verantwortlichen und Ablageort eintragen.</x:v>
      </x:c>
      <x:c r="D14" s="17" t="str">
        <x:v>D01 bis D12 sind für Kapitel 7.4 vorbereitet.</x:v>
      </x:c>
    </x:row>
    <x:row r="15" ht="52" customHeight="1">
      <x:c r="A15" s="17" t="str">
        <x:v>3</x:v>
      </x:c>
      <x:c r="B15" s="17" t="str">
        <x:v>Prüfpunkte bewerten.</x:v>
      </x:c>
      <x:c r="C15" s="17" t="str">
        <x:v>Auf Review 7.4 Ergebnis und konkrete Nachweise eintragen.</x:v>
      </x:c>
      <x:c r="D15" s="17" t="str">
        <x:v>Status über das Auswahlfeld setzen.</x:v>
      </x:c>
    </x:row>
    <x:row r="16" ht="52" customHeight="1">
      <x:c r="A16" s="17" t="str">
        <x:v>4</x:v>
      </x:c>
      <x:c r="B16" s="17" t="str">
        <x:v>Maßnahmen erfassen.</x:v>
      </x:c>
      <x:c r="C16" s="17" t="str">
        <x:v>Abweichungen und Beschlüsse mit Verantwortlichem und Termin führen.</x:v>
      </x:c>
      <x:c r="D16" s="17" t="str">
        <x:v>IDs M-01 bis M-20 sind vorbereitet.</x:v>
      </x:c>
    </x:row>
    <x:row r="17" ht="52" customHeight="1">
      <x:c r="A17" s="17" t="str">
        <x:v>5</x:v>
      </x:c>
      <x:c r="B17" s="17" t="str">
        <x:v>Teil-7-Referenzen anwenden.</x:v>
      </x:c>
      <x:c r="C17" s="17" t="str">
        <x:v>Empfehlungsgrad und Wirksamkeit für SIL 1 bis SIL 3 getrennt bewerten.</x:v>
      </x:c>
      <x:c r="D17" s="17" t="str">
        <x:v>Teil-7-Verfahren sind informativ; die Muss-Anforderung folgt aus Teil 2.</x:v>
      </x:c>
    </x:row>
    <x:row r="18" ht="52" customHeight="1">
      <x:c r="A18" s="17" t="str">
        <x:v>6</x:v>
      </x:c>
      <x:c r="B18" s="17" t="str">
        <x:v>Gesamtergebnis festlegen.</x:v>
      </x:c>
      <x:c r="C18" s="17" t="str">
        <x:v>Ergebnis, Begründung und Zusammenfassung dokumentieren.</x:v>
      </x:c>
      <x:c r="D18" s="17" t="str">
        <x:v>Kennzahlen werden automatisch berechnet.</x:v>
      </x:c>
    </x:row>
    <x:row r="19" ht="52" customHeight="1">
      <x:c r="A19" s="17" t="str">
        <x:v>7</x:v>
      </x:c>
      <x:c r="B19" s="17" t="str">
        <x:v>Unterschriften dokumentieren.</x:v>
      </x:c>
      <x:c r="C19" s="17" t="str">
        <x:v>Name, Funktion, Datum und Bestätigung eintragen.</x:v>
      </x:c>
      <x:c r="D19" s="17" t="str">
        <x:v>Digital oder nach Ausdruck verwendbar.</x:v>
      </x:c>
    </x:row>
    <x:row r="20" ht="52" customHeight="1"/>
    <x:row r="21" ht="38" customHeight="1">
      <x:c r="A21" s="52" t="str">
        <x:v>Quellen: DIN EN 61508-2, Kapitel 7.4; DIN EN 61508-7 gemäß den exakt angegebenen Einzelreferenzen.</x:v>
      </x:c>
      <x:c r="B21" s="52"/>
      <x:c r="C21" s="52"/>
      <x:c r="D21" s="52"/>
    </x:row>
  </x:sheetData>
  <x:mergeCells>
    <x:mergeCell ref="A1:D2"/>
    <x:mergeCell ref="A3:D3"/>
    <x:mergeCell ref="A21:D2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5" hidden="0" customWidth="1"/>
    <x:col min="2" max="2" width="32" hidden="0" customWidth="1"/>
    <x:col min="3" max="3" width="22" hidden="0" customWidth="1"/>
    <x:col min="4" max="4" width="22" hidden="0" customWidth="1"/>
    <x:col min="5" max="5" width="45" hidden="0" customWidth="1"/>
  </x:cols>
  <x:sheetData>
    <x:row r="1" ht="28" customHeight="1">
      <x:c r="A1" s="4" t="str">
        <x:v>Anhang Formblatt Unterschriften</x:v>
      </x:c>
      <x:c r="B1" s="4"/>
      <x:c r="C1" s="4"/>
      <x:c r="D1" s="4"/>
      <x:c r="E1" s="4"/>
    </x:row>
    <x:row r="2" ht="28" customHeight="1">
      <x:c r="A2" s="4"/>
      <x:c r="B2" s="4"/>
      <x:c r="C2" s="4"/>
      <x:c r="D2" s="4"/>
      <x:c r="E2" s="4"/>
    </x:row>
    <x:row r="3" ht="24" customHeight="1">
      <x:c r="A3" s="8" t="str">
        <x:v>Bestätigung des Reviews nach IEC 61508-2, Kapitel 7.4</x:v>
      </x:c>
      <x:c r="B3" s="8"/>
      <x:c r="C3" s="8"/>
      <x:c r="D3" s="8"/>
      <x:c r="E3" s="8"/>
    </x:row>
    <x:row r="5">
      <x:c r="A5" s="47" t="str">
        <x:v>Name</x:v>
      </x:c>
      <x:c r="B5" s="47" t="str">
        <x:v>Funktion / Organisation</x:v>
      </x:c>
      <x:c r="C5" s="47" t="str">
        <x:v>Datum</x:v>
      </x:c>
      <x:c r="D5" s="47" t="str">
        <x:v>Bestätigung</x:v>
      </x:c>
      <x:c r="E5" s="47" t="str">
        <x:v>Bemerkung</x:v>
      </x:c>
    </x:row>
    <x:row r="6" ht="50" customHeight="1">
      <x:c r="A6" s="20" t="str"/>
      <x:c r="B6" s="20" t="str"/>
      <x:c r="C6" s="20" t="str"/>
      <x:c r="D6" s="20" t="str"/>
      <x:c r="E6" s="20" t="str"/>
    </x:row>
    <x:row r="7" ht="50" customHeight="1">
      <x:c r="A7" s="20" t="str"/>
      <x:c r="B7" s="20" t="str"/>
      <x:c r="C7" s="20" t="str"/>
      <x:c r="D7" s="20" t="str"/>
      <x:c r="E7" s="20" t="str"/>
    </x:row>
    <x:row r="8" ht="50" customHeight="1">
      <x:c r="A8" s="20" t="str"/>
      <x:c r="B8" s="20" t="str"/>
      <x:c r="C8" s="20" t="str"/>
      <x:c r="D8" s="20" t="str"/>
      <x:c r="E8" s="20" t="str"/>
    </x:row>
    <x:row r="9" ht="50" customHeight="1">
      <x:c r="A9" s="20" t="str"/>
      <x:c r="B9" s="20" t="str"/>
      <x:c r="C9" s="20" t="str"/>
      <x:c r="D9" s="20" t="str"/>
      <x:c r="E9" s="20" t="str"/>
    </x:row>
    <x:row r="10" ht="50" customHeight="1">
      <x:c r="A10" s="20" t="str"/>
      <x:c r="B10" s="20" t="str"/>
      <x:c r="C10" s="20" t="str"/>
      <x:c r="D10" s="20" t="str"/>
      <x:c r="E10" s="20" t="str"/>
    </x:row>
    <x:row r="11" ht="50" customHeight="1">
      <x:c r="A11" s="20" t="str"/>
      <x:c r="B11" s="20" t="str"/>
      <x:c r="C11" s="20" t="str"/>
      <x:c r="D11" s="20" t="str"/>
      <x:c r="E11" s="20" t="str"/>
    </x:row>
    <x:row r="12" ht="50" customHeight="1">
      <x:c r="A12" s="20" t="str"/>
      <x:c r="B12" s="20" t="str"/>
      <x:c r="C12" s="20" t="str"/>
      <x:c r="D12" s="20" t="str"/>
      <x:c r="E12" s="20" t="str"/>
    </x:row>
    <x:row r="13" ht="50" customHeight="1">
      <x:c r="A13" s="20" t="str"/>
      <x:c r="B13" s="20" t="str"/>
      <x:c r="C13" s="20" t="str"/>
      <x:c r="D13" s="20" t="str"/>
      <x:c r="E13" s="20" t="str"/>
    </x:row>
    <x:row r="14" ht="50" customHeight="1">
      <x:c r="A14" s="20" t="str"/>
      <x:c r="B14" s="20" t="str"/>
      <x:c r="C14" s="20" t="str"/>
      <x:c r="D14" s="20" t="str"/>
      <x:c r="E14" s="20" t="str"/>
    </x:row>
    <x:row r="15" ht="50" customHeight="1">
      <x:c r="A15" s="20" t="str"/>
      <x:c r="B15" s="20" t="str"/>
      <x:c r="C15" s="20" t="str"/>
      <x:c r="D15" s="20" t="str"/>
      <x:c r="E15" s="20" t="str"/>
    </x:row>
  </x:sheetData>
  <x:mergeCells>
    <x:mergeCell ref="A1:E2"/>
    <x:mergeCell ref="A3:E3"/>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72" hidden="0" customWidth="1"/>
    <x:col min="4" max="4" width="24" hidden="0" customWidth="1"/>
    <x:col min="5" max="5" width="18" hidden="0" customWidth="1"/>
    <x:col min="6" max="6" width="18" hidden="0" customWidth="1"/>
    <x:col min="7" max="7" width="18" hidden="0" customWidth="1"/>
    <x:col min="8" max="8" width="38" hidden="0" customWidth="1"/>
    <x:col min="9" max="9" width="36" hidden="0" customWidth="1"/>
  </x:cols>
  <x:sheetData>
    <x:row r="1" ht="28" customHeight="1">
      <x:c r="A1" s="4" t="str">
        <x:v>Verfahren und Maßnahmen – IEC 61508-2, Kapitel 7.4</x:v>
      </x:c>
      <x:c r="B1" s="4"/>
      <x:c r="C1" s="4"/>
      <x:c r="D1" s="4"/>
      <x:c r="E1" s="4"/>
      <x:c r="F1" s="4"/>
      <x:c r="G1" s="4"/>
      <x:c r="H1" s="4"/>
      <x:c r="I1" s="4"/>
    </x:row>
    <x:row r="2" ht="28" customHeight="1">
      <x:c r="A2" s="4"/>
      <x:c r="B2" s="4"/>
      <x:c r="C2" s="4"/>
      <x:c r="D2" s="4"/>
      <x:c r="E2" s="4"/>
      <x:c r="F2" s="4"/>
      <x:c r="G2" s="4"/>
      <x:c r="H2" s="4"/>
      <x:c r="I2" s="4"/>
    </x:row>
    <x:row r="3" ht="24" customHeight="1">
      <x:c r="A3" s="8" t="str">
        <x:v>Exakte Referenzen auf IEC 61508-7; Erläuterungen sind ingenieurwissenschaftlich aus den referenzierten Abschnitten abgeleitet.</x:v>
      </x:c>
      <x:c r="B3" s="8"/>
      <x:c r="C3" s="8"/>
      <x:c r="D3" s="8"/>
      <x:c r="E3" s="8"/>
      <x:c r="F3" s="8"/>
      <x:c r="G3" s="8"/>
      <x:c r="H3" s="8"/>
      <x:c r="I3" s="8"/>
    </x:row>
    <x:row r="5">
      <x:c r="A5" s="12" t="str">
        <x:v>Referenztabelle Verfahren und Maßnahmen</x:v>
      </x:c>
      <x:c r="B5" s="12"/>
      <x:c r="C5" s="12"/>
      <x:c r="D5" s="12"/>
      <x:c r="E5" s="12"/>
      <x:c r="F5" s="12"/>
      <x:c r="G5" s="12"/>
      <x:c r="H5" s="12"/>
      <x:c r="I5" s="12"/>
    </x:row>
    <x:row r="6" ht="42" customHeight="1">
      <x:c r="A6" s="47" t="str">
        <x:v>Nr.</x:v>
      </x:c>
      <x:c r="B6" s="47" t="str">
        <x:v>Verfahren / Maßnahme</x:v>
      </x:c>
      <x:c r="C6" s="47" t="str">
        <x:v>Erläuterung</x:v>
      </x:c>
      <x:c r="D6" s="47" t="str">
        <x:v>IEC 61508-7</x:v>
      </x:c>
      <x:c r="E6" s="47" t="str">
        <x:v>SIL 1</x:v>
      </x:c>
      <x:c r="F6" s="47" t="str">
        <x:v>SIL 2</x:v>
      </x:c>
      <x:c r="G6" s="47" t="str">
        <x:v>SIL 3</x:v>
      </x:c>
      <x:c r="H6" s="47" t="str">
        <x:v>Quelle in IEC 61508-2</x:v>
      </x:c>
      <x:c r="I6" s="47" t="str">
        <x:v>Review / Nachweis</x:v>
      </x:c>
    </x:row>
    <x:row r="7" ht="100" customHeight="1">
      <x:c r="A7" s="18" t="str">
        <x:v>B.2/1</x:v>
      </x:c>
      <x:c r="B7" s="17" t="str">
        <x:v>Beachtung von Richtlinien und Normen</x:v>
      </x:c>
      <x:c r="C7" s="17" t="str">
        <x:v>Anwendbare Richtlinien und Normen werden phasen- und projektspezifisch ausgewählt und verbindlich umgesetzt. Sie liefern einheitliche Entwurfsregeln und unterstützen eine möglichst fehlerarme Realisierung. Abweichungen sind kontrolliert zu behandeln und technisch zu begründen.</x:v>
      </x:c>
      <x:c r="D7" s="17" t="str">
        <x:v>B.3.1</x:v>
      </x:c>
      <x:c r="E7" s="17" t="str">
        <x:v>verbindlich / hoch</x:v>
      </x:c>
      <x:c r="F7" s="17" t="str">
        <x:v>verbindlich / hoch</x:v>
      </x:c>
      <x:c r="G7" s="17" t="str">
        <x:v>verbindlich / hoch</x:v>
      </x:c>
      <x:c r="H7" s="17" t="str">
        <x:v>IEC 61508-2, Tabelle B.2, Nr. 1</x:v>
      </x:c>
      <x:c r="I7" s="20" t="str"/>
    </x:row>
    <x:row r="8" ht="100" customHeight="1">
      <x:c r="A8" s="18" t="str">
        <x:v>B.2/2</x:v>
      </x:c>
      <x:c r="B8" s="17" t="str">
        <x:v>Projektmanagement</x:v>
      </x:c>
      <x:c r="C8" s="17" t="str">
        <x:v>Das Projektmanagement ordnet Aufgaben, Rollen, Befugnisse und organisatorische Unabhängigkeit eindeutig zu. Es legt den Sicherheitslebenszyklus, Qualitätsmaßnahmen, Prüfungen und Freigaben nachvollziehbar fest. Dadurch werden Verantwortungsdiffusion, ungeprüfte Übergaben und unkontrollierte Änderungen systematisch vermieden.</x:v>
      </x:c>
      <x:c r="D8" s="17" t="str">
        <x:v>B.1.1</x:v>
      </x:c>
      <x:c r="E8" s="17" t="str">
        <x:v>verbindlich / niedrig</x:v>
      </x:c>
      <x:c r="F8" s="17" t="str">
        <x:v>verbindlich / niedrig</x:v>
      </x:c>
      <x:c r="G8" s="17" t="str">
        <x:v>verbindlich / mittel</x:v>
      </x:c>
      <x:c r="H8" s="17" t="str">
        <x:v>IEC 61508-2, Tabelle B.2, Nr. 2</x:v>
      </x:c>
      <x:c r="I8" s="20" t="str"/>
    </x:row>
    <x:row r="9" ht="100" customHeight="1">
      <x:c r="A9" s="18" t="str">
        <x:v>B.2/3</x:v>
      </x:c>
      <x:c r="B9" s="17" t="str">
        <x:v>Dokumentation</x:v>
      </x:c>
      <x:c r="C9" s="17" t="str">
        <x:v>Die Dokumentation bildet jeden relevanten Entwicklungsschritt und seine Ergebnisse nachvollziehbar ab. Struktur, Inhalt, Versionierung und Freigabestatus müssen so beherrscht sein, dass Anforderungen und Nachweise rückverfolgbar bleiben. Kontrollierte Dokument- und Bibliotheksbestände verhindern, dass veraltete oder ungeprüfte Informationen verwendet werden.</x:v>
      </x:c>
      <x:c r="D9" s="17" t="str">
        <x:v>B.1.2</x:v>
      </x:c>
      <x:c r="E9" s="17" t="str">
        <x:v>verbindlich / niedrig</x:v>
      </x:c>
      <x:c r="F9" s="17" t="str">
        <x:v>verbindlich / niedrig</x:v>
      </x:c>
      <x:c r="G9" s="17" t="str">
        <x:v>verbindlich / mittel</x:v>
      </x:c>
      <x:c r="H9" s="17" t="str">
        <x:v>IEC 61508-2, Tabelle B.2, Nr. 3</x:v>
      </x:c>
      <x:c r="I9" s="20" t="str"/>
    </x:row>
    <x:row r="10" ht="100" customHeight="1">
      <x:c r="A10" s="18" t="str">
        <x:v>B.2/4</x:v>
      </x:c>
      <x:c r="B10" s="17" t="str">
        <x:v>Strukturierter Entwurf</x:v>
      </x:c>
      <x:c r="C10" s="17" t="str">
        <x:v>Der strukturierte Entwurf zerlegt Anforderungen hierarchisch in überschaubare Teilfunktionen. Klare Module, einfache Schnittstellen und explizite Datenbeziehungen reduzieren Komplexität und Kopplung. Die Struktur erleichtert eine systematische Verifikation jeder Ebene gegen ihre Eingangsanforderungen.</x:v>
      </x:c>
      <x:c r="D10" s="17" t="str">
        <x:v>B.3.2</x:v>
      </x:c>
      <x:c r="E10" s="17" t="str">
        <x:v>++ / niedrig</x:v>
      </x:c>
      <x:c r="F10" s="17" t="str">
        <x:v>++ / niedrig</x:v>
      </x:c>
      <x:c r="G10" s="17" t="str">
        <x:v>++ / mittel</x:v>
      </x:c>
      <x:c r="H10" s="17" t="str">
        <x:v>IEC 61508-2, Tabelle B.2, Nr. 4</x:v>
      </x:c>
      <x:c r="I10" s="20" t="str"/>
    </x:row>
    <x:row r="11" ht="100" customHeight="1">
      <x:c r="A11" s="18" t="str">
        <x:v>B.2/5</x:v>
      </x:c>
      <x:c r="B11" s="17" t="str">
        <x:v>Modularisierung</x:v>
      </x:c>
      <x:c r="C11" s="17" t="str">
        <x:v>Modularisierung gliedert das System in kleine, klar definierte Teilsysteme mit begrenzter Komplexität. Schnittstellen und Querverbindungen werden auf das funktional notwendige Maß beschränkt. Dadurch lassen sich Fehlerwirkungen eingrenzen und Module unabhängig prüfen.</x:v>
      </x:c>
      <x:c r="D11" s="17" t="str">
        <x:v>B.3.4</x:v>
      </x:c>
      <x:c r="E11" s="17" t="str">
        <x:v>++ / niedrig</x:v>
      </x:c>
      <x:c r="F11" s="17" t="str">
        <x:v>++ / niedrig</x:v>
      </x:c>
      <x:c r="G11" s="17" t="str">
        <x:v>++ / mittel</x:v>
      </x:c>
      <x:c r="H11" s="17" t="str">
        <x:v>IEC 61508-2, Tabelle B.2, Nr. 5</x:v>
      </x:c>
      <x:c r="I11" s="20" t="str"/>
    </x:row>
    <x:row r="12" ht="100" customHeight="1">
      <x:c r="A12" s="18" t="str">
        <x:v>B.2/6</x:v>
      </x:c>
      <x:c r="B12" s="17" t="str">
        <x:v>Verwendung bewährter Bauteile</x:v>
      </x:c>
      <x:c r="C12" s="17" t="str">
        <x:v>Bewährte Bauteile werden anhand dokumentierter Betriebserfahrung und sicherheitsrelevanter Eigenschaften ausgewählt. Dabei sind Betriebsprofil, Umgebungsbedingungen, Ausfallverhalten und Schutz gegen unbefugte Eingriffe zu berücksichtigen. Die Übertragbarkeit der Erfahrung auf die vorgesehene Anwendung muss technisch begründet sein.</x:v>
      </x:c>
      <x:c r="D12" s="17" t="str">
        <x:v>B.3.3</x:v>
      </x:c>
      <x:c r="E12" s="17" t="str">
        <x:v>+ / niedrig</x:v>
      </x:c>
      <x:c r="F12" s="17" t="str">
        <x:v>+ / niedrig</x:v>
      </x:c>
      <x:c r="G12" s="17" t="str">
        <x:v>+ / mittel</x:v>
      </x:c>
      <x:c r="H12" s="17" t="str">
        <x:v>IEC 61508-2, Tabelle B.2, Nr. 6</x:v>
      </x:c>
      <x:c r="I12" s="20" t="str"/>
    </x:row>
    <x:row r="13" ht="100" customHeight="1">
      <x:c r="A13" s="18" t="str">
        <x:v>B.2/7</x:v>
      </x:c>
      <x:c r="B13" s="17" t="str">
        <x:v>Semiformale Methoden</x:v>
      </x:c>
      <x:c r="C13" s="17" t="str">
        <x:v>Semiformale Methoden verwenden festgelegte Notationen, Diagramme oder Zustandsmodelle für eine weitgehend eindeutige Beschreibung. Sie erleichtern das Erkennen von Auslassungen, widersprüchlichen Schnittstellen und unvollständigen Abläufen. Die Modelle müssen konsistent zur textlichen Spezifikation gehalten und in Reviews einbezogen werden.</x:v>
      </x:c>
      <x:c r="D13" s="17" t="str">
        <x:v>B.2.3</x:v>
      </x:c>
      <x:c r="E13" s="17" t="str">
        <x:v>+ / niedrig</x:v>
      </x:c>
      <x:c r="F13" s="17" t="str">
        <x:v>+ / niedrig</x:v>
      </x:c>
      <x:c r="G13" s="17" t="str">
        <x:v>++ / mittel</x:v>
      </x:c>
      <x:c r="H13" s="17" t="str">
        <x:v>IEC 61508-2, Tabelle B.2, Nr. 7</x:v>
      </x:c>
      <x:c r="I13" s="20" t="str"/>
    </x:row>
    <x:row r="14" ht="100" customHeight="1">
      <x:c r="A14" s="18" t="str">
        <x:v>B.2/8</x:v>
      </x:c>
      <x:c r="B14" s="17" t="str">
        <x:v>Checklisten</x:v>
      </x:c>
      <x:c r="C14" s="17" t="str">
        <x:v>Checklisten stellen über den Lebenszyklus kritische Fragen zu Vollständigkeit und Regelkonformität. Allgemeine Prüffragen müssen an System, Anwendung und konkrete Gefährdungen angepasst werden. Ihre Wirksamkeit hängt von der Fachkunde der Prüfer und von projektspezifischen Ergänzungen ab.</x:v>
      </x:c>
      <x:c r="D14" s="17" t="str">
        <x:v>B.2.5</x:v>
      </x:c>
      <x:c r="E14" s="17" t="str">
        <x:v>o / niedrig</x:v>
      </x:c>
      <x:c r="F14" s="17" t="str">
        <x:v>+ / niedrig</x:v>
      </x:c>
      <x:c r="G14" s="17" t="str">
        <x:v>+ / mittel</x:v>
      </x:c>
      <x:c r="H14" s="17" t="str">
        <x:v>IEC 61508-2, Tabelle B.2, Nr. 8</x:v>
      </x:c>
      <x:c r="I14" s="20" t="str"/>
    </x:row>
    <x:row r="15" ht="100" customHeight="1">
      <x:c r="A15" s="18" t="str">
        <x:v>B.2/9</x:v>
      </x:c>
      <x:c r="B15" s="17" t="str">
        <x:v>Rechnerunterstützte Entwurfswerkzeuge</x:v>
      </x:c>
      <x:c r="C15" s="17" t="str">
        <x:v>Rechnerunterstützte Entwurfswerkzeuge fördern systematische Modellierung und die Wiederverwendung geprüfter Konstrukte. Das Werkzeug ist durch Tests, bewährten Einsatz oder unabhängige Ergebnisprüfung angemessen zu qualifizieren. Durchgängige Werkzeugketten verringern zusätzlich Übertragungs- und Transkriptionsfehler.</x:v>
      </x:c>
      <x:c r="D15" s="17" t="str">
        <x:v>B.3.5</x:v>
      </x:c>
      <x:c r="E15" s="17" t="str">
        <x:v>o / niedrig</x:v>
      </x:c>
      <x:c r="F15" s="17" t="str">
        <x:v>+ / niedrig</x:v>
      </x:c>
      <x:c r="G15" s="17" t="str">
        <x:v>+ / mittel</x:v>
      </x:c>
      <x:c r="H15" s="17" t="str">
        <x:v>IEC 61508-2, Tabelle B.2, Nr. 9</x:v>
      </x:c>
      <x:c r="I15" s="20" t="str"/>
    </x:row>
    <x:row r="16" ht="100" customHeight="1">
      <x:c r="A16" s="18" t="str">
        <x:v>B.2/10</x:v>
      </x:c>
      <x:c r="B16" s="17" t="str">
        <x:v>Simulation</x:v>
      </x:c>
      <x:c r="C16" s="17" t="str">
        <x:v>Simulation untersucht das Verhalten eines rechnergestützten Modells vor oder ergänzend zur realen Prüfung. Sie unterstützt die Überprüfung funktionaler Abläufe und der Dimensionierung an Bauteil- und Umgebungsgrenzen. Modellannahmen, Parameter und Abweichungen zum realen System müssen dokumentiert und bewertet werden.</x:v>
      </x:c>
      <x:c r="D16" s="17" t="str">
        <x:v>B.3.6</x:v>
      </x:c>
      <x:c r="E16" s="17" t="str">
        <x:v>o / niedrig</x:v>
      </x:c>
      <x:c r="F16" s="17" t="str">
        <x:v>+ / niedrig</x:v>
      </x:c>
      <x:c r="G16" s="17" t="str">
        <x:v>+ / mittel</x:v>
      </x:c>
      <x:c r="H16" s="17" t="str">
        <x:v>IEC 61508-2, Tabelle B.2, Nr. 10</x:v>
      </x:c>
      <x:c r="I16" s="20" t="str"/>
    </x:row>
    <x:row r="17" ht="129.6999969482422" customHeight="1">
      <x:c r="A17" s="18" t="str">
        <x:v>B.2/11</x:v>
      </x:c>
      <x:c r="B17" s="17" t="str">
        <x:v>Hardwareinspektion oder Walk-through</x:v>
      </x:c>
      <x:c r="C17" s="17" t="str">
        <x:v>Bei der Hardwareinspektion prüfen Gutachter Spezifikation und Umsetzung systematisch auf Übereinstimmung und Schwachstellen. Feststellungen und offene Punkte werden dokumentiert, während der Autor hauptsächlich Auskunft gibt. Die Prüfung muss von fachkundigen Personen anhand definierter Kriterien erfolgen. Beim Walk-through erläutert der Autor den Entwurf schrittweise, während die Gutachter Ablauf und Entscheidungen nachvollziehen. Schwächen, Unklarheiten und fehlende Nachweise werden protokolliert. Das Verfahren ergänzt die Inspektion, ersetzt aber keine unabhängige technische Bewertung.</x:v>
      </x:c>
      <x:c r="D17" s="17" t="str">
        <x:v>B.3.7 / B.3.8</x:v>
      </x:c>
      <x:c r="E17" s="17" t="str">
        <x:v>o / niedrig</x:v>
      </x:c>
      <x:c r="F17" s="17" t="str">
        <x:v>+ / niedrig</x:v>
      </x:c>
      <x:c r="G17" s="17" t="str">
        <x:v>+ / mittel</x:v>
      </x:c>
      <x:c r="H17" s="17" t="str">
        <x:v>IEC 61508-2, Tabelle B.2, Nr. 11</x:v>
      </x:c>
      <x:c r="I17" s="20" t="str"/>
    </x:row>
    <x:row r="18" ht="100" customHeight="1">
      <x:c r="A18" s="18" t="str">
        <x:v>B.2/12</x:v>
      </x:c>
      <x:c r="B18" s="17" t="str">
        <x:v>Formale Methoden</x:v>
      </x:c>
      <x:c r="C18" s="17" t="str">
        <x:v>Formale Methoden beschreiben Anforderungen oder Entwürfe durch mathematisch definierte Modelle. Sie unterstützen Eindeutigkeit, Konsistenz und Vollständigkeit und ermöglichen strengere Nachweise als ausschließlich sprachliche Spezifikationen. Die Methode ist passend zur Systemeigenschaft, Entwicklungsphase und Kompetenz der Anwender auszuwählen.</x:v>
      </x:c>
      <x:c r="D18" s="17" t="str">
        <x:v>B.2.2</x:v>
      </x:c>
      <x:c r="E18" s="17" t="str">
        <x:v>o / niedrig</x:v>
      </x:c>
      <x:c r="F18" s="17" t="str">
        <x:v>o / niedrig</x:v>
      </x:c>
      <x:c r="G18" s="17" t="str">
        <x:v>+ / mittel</x:v>
      </x:c>
      <x:c r="H18" s="17" t="str">
        <x:v>IEC 61508-2, Tabelle B.2, Nr. 12</x:v>
      </x:c>
      <x:c r="I18" s="20" t="str"/>
    </x:row>
    <x:row r="19" ht="100" customHeight="1">
      <x:c r="A19" s="18" t="str">
        <x:v>7.4.2.13</x:v>
      </x:c>
      <x:c r="B19" s="17" t="str">
        <x:v>Unterlastung (De-rating)</x:v>
      </x:c>
      <x:c r="C19" s="17" t="str">
        <x:v>Unterlastung betreibt Hardwarebauteile aufgrund der Systemauslegung deutlich unterhalb ihrer festgelegten Höchstgrenzen. Sie soll gewährleisten, dass die Beanspruchung auch unter allen normalen Betriebsbedingungen einen ausreichenden Abstand zu den Belastungsgrenzen behält. Dimensionierungsannahmen, Betriebsprofil und verbleibende Grenzfälle sind zu dokumentieren und technisch zu begründen.</x:v>
      </x:c>
      <x:c r="D19" s="17" t="str">
        <x:v>A.2.8</x:v>
      </x:c>
      <x:c r="E19" s="17" t="str">
        <x:v>—</x:v>
      </x:c>
      <x:c r="F19" s="17" t="str">
        <x:v>—</x:v>
      </x:c>
      <x:c r="G19" s="17" t="str">
        <x:v>—</x:v>
      </x:c>
      <x:c r="H19" s="17" t="str">
        <x:v>IEC 61508-2, 7.4.2.13</x:v>
      </x:c>
      <x:c r="I19" s="20" t="str"/>
    </x:row>
    <x:row r="20" ht="100" customHeight="1">
      <x:c r="A20" s="18" t="str">
        <x:v>A.15/1</x:v>
      </x:c>
      <x:c r="B20" s="17" t="str">
        <x:v>Zeitablauf- und logische Programmablaufüberwachung</x:v>
      </x:c>
      <x:c r="C20" s="17" t="str">
        <x:v>Die Überwachung von Zeitablauf und logischem Programmablauf erkennt falsche Reihenfolgen, unzulässige Ausführungszeiten oder Taktfehler. Referenzablauf und Zeitgrenzen müssen eindeutig festgelegt sein. Eine erkannte Abweichung muss innerhalb der Prozess-Sicherheitszeit zu einer definierten Reaktion führen.</x:v>
      </x:c>
      <x:c r="D20" s="17" t="str">
        <x:v>A.9</x:v>
      </x:c>
      <x:c r="E20" s="17" t="str">
        <x:v>++ / niedrig</x:v>
      </x:c>
      <x:c r="F20" s="17" t="str">
        <x:v>++ / niedrig</x:v>
      </x:c>
      <x:c r="G20" s="17" t="str">
        <x:v>++ / mittel</x:v>
      </x:c>
      <x:c r="H20" s="17" t="str">
        <x:v>IEC 61508-2, Tabelle A.15, Nr. 1</x:v>
      </x:c>
      <x:c r="I20" s="20" t="str"/>
    </x:row>
    <x:row r="21" ht="100" customHeight="1">
      <x:c r="A21" s="18" t="str">
        <x:v>A.15/2</x:v>
      </x:c>
      <x:c r="B21" s="17" t="str">
        <x:v>Überwachung während des Betriebs</x:v>
      </x:c>
      <x:c r="C21" s="17" t="str">
        <x:v>Die Überwachung während des Betriebs leitet Fehler aus zeitlichem oder funktionalem Verhalten der EUC ab. Sie kann Abweichungen erkennen, lokalisiert deren Ursache jedoch nicht zwingend. Schwellen, Reaktionszeiten und sicherheitsgerichtete Reaktionen müssen spezifiziert und verifiziert werden.</x:v>
      </x:c>
      <x:c r="D21" s="17" t="str">
        <x:v>A.1.1</x:v>
      </x:c>
      <x:c r="E21" s="17" t="str">
        <x:v>+ / niedrig</x:v>
      </x:c>
      <x:c r="F21" s="17" t="str">
        <x:v>+ / niedrig</x:v>
      </x:c>
      <x:c r="G21" s="17" t="str">
        <x:v>+ / mittel</x:v>
      </x:c>
      <x:c r="H21" s="17" t="str">
        <x:v>IEC 61508-2, Tabelle A.15, Nr. 2</x:v>
      </x:c>
      <x:c r="I21" s="20" t="str"/>
    </x:row>
    <x:row r="22" ht="100" customHeight="1">
      <x:c r="A22" s="18" t="str">
        <x:v>A.15/3</x:v>
      </x:c>
      <x:c r="B22" s="17" t="str">
        <x:v>Test durch redundante Hardwareeinrichtungen</x:v>
      </x:c>
      <x:c r="C22" s="17" t="str">
        <x:v>Redundante Hardwareeinrichtungen prüfen Sicherheitsfunktionen oder Kanäle periodisch mit zusätzlicher Hardware. Der Vergleich oder Test ermöglicht die Erkennung von Abweichungen zwischen den Pfaden. Testabdeckung, Testintervall und Fehlerreaktion sind auf die Sicherheitsanforderungen abzustimmen.</x:v>
      </x:c>
      <x:c r="D22" s="17" t="str">
        <x:v>A.2.1</x:v>
      </x:c>
      <x:c r="E22" s="17" t="str">
        <x:v>+ / niedrig</x:v>
      </x:c>
      <x:c r="F22" s="17" t="str">
        <x:v>+ / niedrig</x:v>
      </x:c>
      <x:c r="G22" s="17" t="str">
        <x:v>+ / mittel</x:v>
      </x:c>
      <x:c r="H22" s="17" t="str">
        <x:v>IEC 61508-2, Tabelle A.15, Nr. 3</x:v>
      </x:c>
      <x:c r="I22" s="20" t="str"/>
    </x:row>
    <x:row r="23" ht="100" customHeight="1">
      <x:c r="A23" s="18" t="str">
        <x:v>A.15/4</x:v>
      </x:c>
      <x:c r="B23" s="17" t="str">
        <x:v>Boundary Scan</x:v>
      </x:c>
      <x:c r="C23" s="17" t="str">
        <x:v>Boundary-Scan-Zellen an IC-Anschlüssen ermöglichen das Steuern und Beobachten interner Testpunkte. Logikbereiche können isoliert und Verbindungen systematisch geprüft werden. Die Testmuster und die Abdeckung sicherheitsrelevanter Fehler sind zu begründen.</x:v>
      </x:c>
      <x:c r="D23" s="17" t="str">
        <x:v>A.2.3</x:v>
      </x:c>
      <x:c r="E23" s="17" t="str">
        <x:v>+ / niedrig</x:v>
      </x:c>
      <x:c r="F23" s="17" t="str">
        <x:v>+ / niedrig</x:v>
      </x:c>
      <x:c r="G23" s="17" t="str">
        <x:v>+ / mittel</x:v>
      </x:c>
      <x:c r="H23" s="17" t="str">
        <x:v>IEC 61508-2, Tabelle A.15, Nr. 4</x:v>
      </x:c>
      <x:c r="I23" s="20" t="str"/>
    </x:row>
    <x:row r="24" ht="100" customHeight="1">
      <x:c r="A24" s="18" t="str">
        <x:v>A.15/5</x:v>
      </x:c>
      <x:c r="B24" s="17" t="str">
        <x:v>Codierung</x:v>
      </x:c>
      <x:c r="C24" s="17" t="str">
        <x:v>Codierung schützt Ein- und Ausgangsdaten durch Informations- oder Zeitredundanz. Fehler im Datenfluss können dadurch erkannt werden, bevor sie eine gefährliche Wirkung entfalten. Codeeigenschaften, Fehlerabdeckung und Behandlung ungültiger Daten müssen festgelegt und nachgewiesen werden.</x:v>
      </x:c>
      <x:c r="D24" s="17" t="str">
        <x:v>A.6.2</x:v>
      </x:c>
      <x:c r="E24" s="17" t="str">
        <x:v>+ / niedrig</x:v>
      </x:c>
      <x:c r="F24" s="17" t="str">
        <x:v>+ / niedrig</x:v>
      </x:c>
      <x:c r="G24" s="17" t="str">
        <x:v>+ / mittel</x:v>
      </x:c>
      <x:c r="H24" s="17" t="str">
        <x:v>IEC 61508-2, Tabelle A.15, Nr. 5</x:v>
      </x:c>
      <x:c r="I24" s="20" t="str"/>
    </x:row>
    <x:row r="25" ht="100" customHeight="1">
      <x:c r="A25" s="18" t="str">
        <x:v>A.15/6</x:v>
      </x:c>
      <x:c r="B25" s="17" t="str">
        <x:v>Diverse Hardware</x:v>
      </x:c>
      <x:c r="C25" s="17" t="str">
        <x:v>Diverse Hardware verwendet unterschiedliche Bauteiltypen, Technologien oder physikalische Wirkprinzipien für redundante Pfade. Damit wird die Wahrscheinlichkeit gleichartiger systematischer oder gemeinsam verursachter Ausfälle vermindert. Die Wirksamkeit setzt voraus, dass Abhängigkeiten der Versorgung, Umgebung, Entwicklung und Schnittstellen ebenfalls analysiert werden.</x:v>
      </x:c>
      <x:c r="D25" s="17" t="str">
        <x:v>B.1.4</x:v>
      </x:c>
      <x:c r="E25" s="17" t="str">
        <x:v>o / niedrig</x:v>
      </x:c>
      <x:c r="F25" s="17" t="str">
        <x:v>o / niedrig</x:v>
      </x:c>
      <x:c r="G25" s="17" t="str">
        <x:v>+ / mittel</x:v>
      </x:c>
      <x:c r="H25" s="17" t="str">
        <x:v>IEC 61508-2, Tabelle A.15, Nr. 6</x:v>
      </x:c>
      <x:c r="I25" s="20" t="str"/>
    </x:row>
    <x:row r="26" ht="100" customHeight="1">
      <x:c r="A26" s="18" t="str">
        <x:v>A.16/1</x:v>
      </x:c>
      <x:c r="B26" s="17" t="str">
        <x:v>Maßnahmen gegen Versorgungsspannungseinbrüche und andere Phänomene</x:v>
      </x:c>
      <x:c r="C26" s="17" t="str">
        <x:v>Maßnahmen gegen Versorgungsspannungseinbrüche und andere Versorgungseffekte erkennen oder tolerieren relevante Abweichungen. Grenzwerte und zeitliche Verläufe sind aus dem Betriebsprofil und der Sicherheitsfunktion abzuleiten. Das Systemverhalten bei Unter-, Über- und Wiederkehr der Versorgung ist zu prüfen.</x:v>
      </x:c>
      <x:c r="D26" s="17" t="str">
        <x:v>A.8</x:v>
      </x:c>
      <x:c r="E26" s="17" t="str">
        <x:v>verbindlich / niedrig</x:v>
      </x:c>
      <x:c r="F26" s="17" t="str">
        <x:v>verbindlich / mittel</x:v>
      </x:c>
      <x:c r="G26" s="17" t="str">
        <x:v>verbindlich / mittel</x:v>
      </x:c>
      <x:c r="H26" s="17" t="str">
        <x:v>IEC 61508-2, Tabelle A.16, Nr. 1</x:v>
      </x:c>
      <x:c r="I26" s="20" t="str"/>
    </x:row>
    <x:row r="27" ht="100" customHeight="1">
      <x:c r="A27" s="18" t="str">
        <x:v>A.16/2</x:v>
      </x:c>
      <x:c r="B27" s="17" t="str">
        <x:v>Trennung von Energie- und Informationsleitungen</x:v>
      </x:c>
      <x:c r="C27" s="17" t="str">
        <x:v>Die Trennung von Energie- und Informationsleitungen reduziert induktive und kapazitive Einkopplungen. Abstände, Leitungsführung und Kreuzungsbedingungen sind für die erwartete elektromagnetische Umgebung festzulegen. Die Wirksamkeit ist in Installation und Änderungsmanagement zu erhalten.</x:v>
      </x:c>
      <x:c r="D27" s="17" t="str">
        <x:v>A.11.1</x:v>
      </x:c>
      <x:c r="E27" s="17" t="str">
        <x:v>verbindlich</x:v>
      </x:c>
      <x:c r="F27" s="17" t="str">
        <x:v>verbindlich</x:v>
      </x:c>
      <x:c r="G27" s="17" t="str">
        <x:v>verbindlich</x:v>
      </x:c>
      <x:c r="H27" s="17" t="str">
        <x:v>IEC 61508-2, Tabelle A.16, Nr. 2</x:v>
      </x:c>
      <x:c r="I27" s="20" t="str"/>
    </x:row>
    <x:row r="28" ht="100" customHeight="1">
      <x:c r="A28" s="18" t="str">
        <x:v>A.16/3</x:v>
      </x:c>
      <x:c r="B28" s="17" t="str">
        <x:v>Störfestigkeit gegen elektromagnetische Einwirkungen</x:v>
      </x:c>
      <x:c r="C28" s="17" t="str">
        <x:v>Schirmung und Filterung begrenzen leitungsgebundene und gestrahlte elektromagnetische Störungen sowie elektrostatische Entladungen. Auswahl und Anschluss müssen zum Frequenzbereich, zur Schnittstelle und zur Installationsumgebung passen. Die Störfestigkeit ist durch geeignete Prüfungen nachzuweisen.</x:v>
      </x:c>
      <x:c r="D28" s="17" t="str">
        <x:v>A.11.3</x:v>
      </x:c>
      <x:c r="E28" s="17" t="str">
        <x:v>verbindlich / niedrig</x:v>
      </x:c>
      <x:c r="F28" s="17" t="str">
        <x:v>verbindlich / niedrig</x:v>
      </x:c>
      <x:c r="G28" s="17" t="str">
        <x:v>verbindlich / mittel</x:v>
      </x:c>
      <x:c r="H28" s="17" t="str">
        <x:v>IEC 61508-2, Tabelle A.16, Nr. 3</x:v>
      </x:c>
      <x:c r="I28" s="20" t="str"/>
    </x:row>
    <x:row r="29" ht="100" customHeight="1">
      <x:c r="A29" s="18" t="str">
        <x:v>A.16/4</x:v>
      </x:c>
      <x:c r="B29" s="17" t="str">
        <x:v>Auslegung für die physikalische Umgebung</x:v>
      </x:c>
      <x:c r="C29" s="17" t="str">
        <x:v>Die Auslegung für die physikalische Umgebung schützt gegen Wasser, Staub, Korrosion, Temperatur und weitere spezifizierte Einwirkungen. Gehäuse, Materialien und Montagebedingungen sind aus dem Einsatzprofil abzuleiten. Die Schutzwirkung ist durch Auslegung, Nachweise und geeignete Umgebungsprüfungen zu bestätigen.</x:v>
      </x:c>
      <x:c r="D29" s="17" t="str">
        <x:v>A.14</x:v>
      </x:c>
      <x:c r="E29" s="17" t="str">
        <x:v>verbindlich / niedrig</x:v>
      </x:c>
      <x:c r="F29" s="17" t="str">
        <x:v>verbindlich / hoch</x:v>
      </x:c>
      <x:c r="G29" s="17" t="str">
        <x:v>verbindlich / hoch</x:v>
      </x:c>
      <x:c r="H29" s="17" t="str">
        <x:v>IEC 61508-2, Tabelle A.16, Nr. 4</x:v>
      </x:c>
      <x:c r="I29" s="20" t="str"/>
    </x:row>
    <x:row r="30" ht="100" customHeight="1">
      <x:c r="A30" s="18" t="str">
        <x:v>A.16/5</x:v>
      </x:c>
      <x:c r="B30" s="17" t="str">
        <x:v>Zeitablauf- und logische Programmablaufüberwachung</x:v>
      </x:c>
      <x:c r="C30" s="17" t="str">
        <x:v>Die Überwachung von Zeitablauf und logischem Programmablauf erkennt falsche Reihenfolgen, unzulässige Ausführungszeiten oder Taktfehler. Referenzablauf und Zeitgrenzen müssen eindeutig festgelegt sein. Eine erkannte Abweichung muss innerhalb der Prozess-Sicherheitszeit zu einer definierten Reaktion führen.</x:v>
      </x:c>
      <x:c r="D30" s="17" t="str">
        <x:v>A.9</x:v>
      </x:c>
      <x:c r="E30" s="17" t="str">
        <x:v>++ / niedrig</x:v>
      </x:c>
      <x:c r="F30" s="17" t="str">
        <x:v>++ / niedrig</x:v>
      </x:c>
      <x:c r="G30" s="17" t="str">
        <x:v>++ / mittel</x:v>
      </x:c>
      <x:c r="H30" s="17" t="str">
        <x:v>IEC 61508-2, Tabelle A.16, Nr. 5</x:v>
      </x:c>
      <x:c r="I30" s="20" t="str"/>
    </x:row>
    <x:row r="31" ht="100" customHeight="1">
      <x:c r="A31" s="18" t="str">
        <x:v>A.16/6</x:v>
      </x:c>
      <x:c r="B31" s="17" t="str">
        <x:v>Belüftung oder Beheizung</x:v>
      </x:c>
      <x:c r="C31" s="17" t="str">
        <x:v>Überwachung von Belüftung oder Beheizung hält sicherheitsrelevante Bauteile im spezifizierten Temperaturbereich. Ausfälle der Temperierung werden erkannt und dürfen nicht unkontrolliert zu gefährlichem Verhalten führen. Sensorik, Grenzwerte, Diagnose und Reaktion sind unter ungünstigen Umgebungsbedingungen zu validieren.</x:v>
      </x:c>
      <x:c r="D31" s="17" t="str">
        <x:v>A.10</x:v>
      </x:c>
      <x:c r="E31" s="17" t="str">
        <x:v>++ / niedrig</x:v>
      </x:c>
      <x:c r="F31" s="17" t="str">
        <x:v>++ / niedrig</x:v>
      </x:c>
      <x:c r="G31" s="17" t="str">
        <x:v>++ / mittel</x:v>
      </x:c>
      <x:c r="H31" s="17" t="str">
        <x:v>IEC 61508-2, Tabelle A.16, Nr. 6</x:v>
      </x:c>
      <x:c r="I31" s="20" t="str"/>
    </x:row>
    <x:row r="32" ht="100" customHeight="1">
      <x:c r="A32" s="18" t="str">
        <x:v>A.16/7</x:v>
      </x:c>
      <x:c r="B32" s="17" t="str">
        <x:v>Räumliche Trennung</x:v>
      </x:c>
      <x:c r="C32" s="17" t="str">
        <x:v>Räumliche Trennung redundanter Leitungen vermindert Übersprechen und gemeinsame physische Einwirkungen. Die Trennung muss auch Versorgung, Trassen, Anschlüsse und mechanische Beschädigungsrisiken berücksichtigen. Verbleibende gemeinsame Ursachen sind gesondert zu bewerten.</x:v>
      </x:c>
      <x:c r="D32" s="17" t="str">
        <x:v>A.11.2</x:v>
      </x:c>
      <x:c r="E32" s="17" t="str">
        <x:v>++ / niedrig</x:v>
      </x:c>
      <x:c r="F32" s="17" t="str">
        <x:v>++ / niedrig</x:v>
      </x:c>
      <x:c r="G32" s="17" t="str">
        <x:v>++ / mittel</x:v>
      </x:c>
      <x:c r="H32" s="17" t="str">
        <x:v>IEC 61508-2, Tabelle A.16, Nr. 7</x:v>
      </x:c>
      <x:c r="I32" s="20" t="str"/>
    </x:row>
    <x:row r="33" ht="100" customHeight="1">
      <x:c r="A33" s="18" t="str">
        <x:v>A.16/8</x:v>
      </x:c>
      <x:c r="B33" s="17" t="str">
        <x:v>Ruhestromprinzip</x:v>
      </x:c>
      <x:c r="C33" s="17" t="str">
        <x:v>Beim Ruhestromprinzip wird die Sicherheitsfunktion durch Öffnen von Kontakten oder Wegfall von Energie ausgelöst. Dadurch führen bestimmte Leitungs- oder Energieausfälle bevorzugt zum sicheren Zustand. Der Entwurf muss dennoch unerkannt bleibende Fehler und die sichere Zustandsdefinition vollständig berücksichtigen.</x:v>
      </x:c>
      <x:c r="D33" s="17" t="str">
        <x:v>A.1.5</x:v>
      </x:c>
      <x:c r="E33" s="17" t="str">
        <x:v>+</x:v>
      </x:c>
      <x:c r="F33" s="17" t="str">
        <x:v>+</x:v>
      </x:c>
      <x:c r="G33" s="17" t="str">
        <x:v>+</x:v>
      </x:c>
      <x:c r="H33" s="17" t="str">
        <x:v>IEC 61508-2, Tabelle A.16, Nr. 8</x:v>
      </x:c>
      <x:c r="I33" s="20" t="str"/>
    </x:row>
    <x:row r="34" ht="100" customHeight="1">
      <x:c r="A34" s="18" t="str">
        <x:v>A.16/9</x:v>
      </x:c>
      <x:c r="B34" s="17" t="str">
        <x:v>Erkennung von Leitungsbruch und Kurzschluss in Signalleitungen</x:v>
      </x:c>
      <x:c r="C34" s="17" t="str">
        <x:v>Die Maßnahme erkennt Unterbrechungen und Kurzschlüsse sicherheitsrelevanter Signalleitungen. Diagnosegrenzen und Reaktionen sind so festzulegen, dass ein Leitungsfehler nicht unbemerkt zu einer gefährlichen Funktion führt. Tabelle A.16 nennt für diese Tabellenzeile keinen eigenen Unterabschnitt in IEC 61508-7; deshalb wird keine Referenz ergänzt.</x:v>
      </x:c>
      <x:c r="D34" s="17" t="str">
        <x:v>— (in Tabelle A.16 nicht angegeben)</x:v>
      </x:c>
      <x:c r="E34" s="17" t="str">
        <x:v>+</x:v>
      </x:c>
      <x:c r="F34" s="17" t="str">
        <x:v>+</x:v>
      </x:c>
      <x:c r="G34" s="17" t="str">
        <x:v>+</x:v>
      </x:c>
      <x:c r="H34" s="17" t="str">
        <x:v>IEC 61508-2, Tabelle A.16, Nr. 9</x:v>
      </x:c>
      <x:c r="I34" s="20" t="str"/>
    </x:row>
    <x:row r="35" ht="100" customHeight="1">
      <x:c r="A35" s="18" t="str">
        <x:v>A.16/10</x:v>
      </x:c>
      <x:c r="B35" s="17" t="str">
        <x:v>Überwachung während des Betriebs</x:v>
      </x:c>
      <x:c r="C35" s="17" t="str">
        <x:v>Die Überwachung während des Betriebs leitet Fehler aus zeitlichem oder funktionalem Verhalten der EUC ab. Sie kann Abweichungen erkennen, lokalisiert deren Ursache jedoch nicht zwingend. Schwellen, Reaktionszeiten und sicherheitsgerichtete Reaktionen müssen spezifiziert und verifiziert werden.</x:v>
      </x:c>
      <x:c r="D35" s="17" t="str">
        <x:v>A.1.1</x:v>
      </x:c>
      <x:c r="E35" s="17" t="str">
        <x:v>+ / niedrig</x:v>
      </x:c>
      <x:c r="F35" s="17" t="str">
        <x:v>+ / niedrig</x:v>
      </x:c>
      <x:c r="G35" s="17" t="str">
        <x:v>+ / mittel</x:v>
      </x:c>
      <x:c r="H35" s="17" t="str">
        <x:v>IEC 61508-2, Tabelle A.16, Nr. 10</x:v>
      </x:c>
      <x:c r="I35" s="20" t="str"/>
    </x:row>
    <x:row r="36" ht="100" customHeight="1">
      <x:c r="A36" s="18" t="str">
        <x:v>A.16/11</x:v>
      </x:c>
      <x:c r="B36" s="17" t="str">
        <x:v>Test durch redundante Hardwareeinrichtungen</x:v>
      </x:c>
      <x:c r="C36" s="17" t="str">
        <x:v>Redundante Hardwareeinrichtungen prüfen Sicherheitsfunktionen oder Kanäle periodisch mit zusätzlicher Hardware. Der Vergleich oder Test ermöglicht die Erkennung von Abweichungen zwischen den Pfaden. Testabdeckung, Testintervall und Fehlerreaktion sind auf die Sicherheitsanforderungen abzustimmen.</x:v>
      </x:c>
      <x:c r="D36" s="17" t="str">
        <x:v>A.2.1</x:v>
      </x:c>
      <x:c r="E36" s="17" t="str">
        <x:v>+ / niedrig</x:v>
      </x:c>
      <x:c r="F36" s="17" t="str">
        <x:v>+ / niedrig</x:v>
      </x:c>
      <x:c r="G36" s="17" t="str">
        <x:v>+ / mittel</x:v>
      </x:c>
      <x:c r="H36" s="17" t="str">
        <x:v>IEC 61508-2, Tabelle A.16, Nr. 11</x:v>
      </x:c>
      <x:c r="I36" s="20" t="str"/>
    </x:row>
    <x:row r="37" ht="100" customHeight="1">
      <x:c r="A37" s="18" t="str">
        <x:v>A.16/12</x:v>
      </x:c>
      <x:c r="B37" s="17" t="str">
        <x:v>Codierung</x:v>
      </x:c>
      <x:c r="C37" s="17" t="str">
        <x:v>Codierung schützt Ein- und Ausgangsdaten durch Informations- oder Zeitredundanz. Fehler im Datenfluss können dadurch erkannt werden, bevor sie eine gefährliche Wirkung entfalten. Codeeigenschaften, Fehlerabdeckung und Behandlung ungültiger Daten müssen festgelegt und nachgewiesen werden.</x:v>
      </x:c>
      <x:c r="D37" s="17" t="str">
        <x:v>A.6.2</x:v>
      </x:c>
      <x:c r="E37" s="17" t="str">
        <x:v>+ / niedrig</x:v>
      </x:c>
      <x:c r="F37" s="17" t="str">
        <x:v>+ / niedrig</x:v>
      </x:c>
      <x:c r="G37" s="17" t="str">
        <x:v>+ / mittel</x:v>
      </x:c>
      <x:c r="H37" s="17" t="str">
        <x:v>IEC 61508-2, Tabelle A.16, Nr. 12</x:v>
      </x:c>
      <x:c r="I37" s="20" t="str"/>
    </x:row>
    <x:row r="38" ht="100" customHeight="1">
      <x:c r="A38" s="18" t="str">
        <x:v>A.16/13</x:v>
      </x:c>
      <x:c r="B38" s="17" t="str">
        <x:v>Antivalente Signalübertragung</x:v>
      </x:c>
      <x:c r="C38" s="17" t="str">
        <x:v>Antivalente Signalübertragung verwendet komplementäre redundante Signale. Ein Vergleich erkennt gleichsinnige eingekoppelte Spannungen oder unzulässige Signalpaare. Leitungsdiagnose, Vergleichslogik und sichere Reaktion müssen auch bei Einzel- und gemeinsamen Fehlern bewertet werden.</x:v>
      </x:c>
      <x:c r="D38" s="17" t="str">
        <x:v>A.11.4</x:v>
      </x:c>
      <x:c r="E38" s="17" t="str">
        <x:v>+ / niedrig</x:v>
      </x:c>
      <x:c r="F38" s="17" t="str">
        <x:v>+ / niedrig</x:v>
      </x:c>
      <x:c r="G38" s="17" t="str">
        <x:v>+ / mittel</x:v>
      </x:c>
      <x:c r="H38" s="17" t="str">
        <x:v>IEC 61508-2, Tabelle A.16, Nr. 13</x:v>
      </x:c>
      <x:c r="I38" s="20" t="str"/>
    </x:row>
    <x:row r="39" ht="100" customHeight="1">
      <x:c r="A39" s="18" t="str">
        <x:v>A.16/14</x:v>
      </x:c>
      <x:c r="B39" s="17" t="str">
        <x:v>Diverse Hardware</x:v>
      </x:c>
      <x:c r="C39" s="17" t="str">
        <x:v>Diverse Hardware verwendet unterschiedliche Bauteiltypen, Technologien oder physikalische Wirkprinzipien für redundante Pfade. Damit wird die Wahrscheinlichkeit gleichartiger systematischer oder gemeinsam verursachter Ausfälle vermindert. Die Wirksamkeit setzt voraus, dass Abhängigkeiten der Versorgung, Umgebung, Entwicklung und Schnittstellen ebenfalls analysiert werden.</x:v>
      </x:c>
      <x:c r="D39" s="17" t="str">
        <x:v>B.1.4</x:v>
      </x:c>
      <x:c r="E39" s="17" t="str">
        <x:v>o / niedrig</x:v>
      </x:c>
      <x:c r="F39" s="17" t="str">
        <x:v>o / niedrig</x:v>
      </x:c>
      <x:c r="G39" s="17" t="str">
        <x:v>o / mittel</x:v>
      </x:c>
      <x:c r="H39" s="17" t="str">
        <x:v>IEC 61508-2, Tabelle A.16, Nr. 14</x:v>
      </x:c>
      <x:c r="I39" s="20" t="str"/>
    </x:row>
    <x:row r="40" ht="100" customHeight="1">
      <x:c r="A40" s="18" t="str">
        <x:v>A.17/1</x:v>
      </x:c>
      <x:c r="B40" s="17" t="str">
        <x:v>Schutz gegen Modifikation</x:v>
      </x:c>
      <x:c r="C40" s="17" t="str">
        <x:v>Der Schutz gegen Modifikation erkennt unzulässige Änderungen oder Manipulationen automatisch. Bei Erkennung ist eine definierte sicherheitsgerichtete Reaktion einzuleiten. Erkennung, Meldung und Reaktion müssen auch für relevante Konfigurations- und Parameteränderungen nachweisbar wirksam sein.</x:v>
      </x:c>
      <x:c r="D40" s="17" t="str">
        <x:v>B.4.8</x:v>
      </x:c>
      <x:c r="E40" s="17" t="str">
        <x:v>verbindlich / niedrig</x:v>
      </x:c>
      <x:c r="F40" s="17" t="str">
        <x:v>verbindlich / mittel</x:v>
      </x:c>
      <x:c r="G40" s="17" t="str">
        <x:v>verbindlich / hoch</x:v>
      </x:c>
      <x:c r="H40" s="17" t="str">
        <x:v>IEC 61508-2, Tabelle A.17, Nr. 1</x:v>
      </x:c>
      <x:c r="I40" s="20" t="str"/>
    </x:row>
    <x:row r="41" ht="100" customHeight="1">
      <x:c r="A41" s="18" t="str">
        <x:v>A.17/2</x:v>
      </x:c>
      <x:c r="B41" s="17" t="str">
        <x:v>Überwachung während des Betriebs</x:v>
      </x:c>
      <x:c r="C41" s="17" t="str">
        <x:v>Die Überwachung während des Betriebs leitet Fehler aus zeitlichem oder funktionalem Verhalten der EUC ab. Sie kann Abweichungen erkennen, lokalisiert deren Ursache jedoch nicht zwingend. Schwellen, Reaktionszeiten und sicherheitsgerichtete Reaktionen müssen spezifiziert und verifiziert werden.</x:v>
      </x:c>
      <x:c r="D41" s="17" t="str">
        <x:v>A.1.1</x:v>
      </x:c>
      <x:c r="E41" s="17" t="str">
        <x:v>+ / niedrig</x:v>
      </x:c>
      <x:c r="F41" s="17" t="str">
        <x:v>+ / niedrig</x:v>
      </x:c>
      <x:c r="G41" s="17" t="str">
        <x:v>+ / mittel</x:v>
      </x:c>
      <x:c r="H41" s="17" t="str">
        <x:v>IEC 61508-2, Tabelle A.17, Nr. 2</x:v>
      </x:c>
      <x:c r="I41" s="20" t="str"/>
    </x:row>
    <x:row r="42" ht="100" customHeight="1">
      <x:c r="A42" s="18" t="str">
        <x:v>A.17/3</x:v>
      </x:c>
      <x:c r="B42" s="17" t="str">
        <x:v>Eingabebestätigung</x:v>
      </x:c>
      <x:c r="C42" s="17" t="str">
        <x:v>Die Eingabebestätigung zeigt sicherheitsrelevante Eingaben vor ihrer Übertragung an die EUC eindeutig an. Der Bediener muss Fehler korrigieren können, bevor die Wirkung freigegeben wird. Zeitüberschreitungen, Doppelbetätigungen und unvollständige Bestätigungen sind sicher zu behandeln.</x:v>
      </x:c>
      <x:c r="D42" s="17" t="str">
        <x:v>B.4.9</x:v>
      </x:c>
      <x:c r="E42" s="17" t="str">
        <x:v>+ / niedrig</x:v>
      </x:c>
      <x:c r="F42" s="17" t="str">
        <x:v>+ / niedrig</x:v>
      </x:c>
      <x:c r="G42" s="17" t="str">
        <x:v>+ / mittel</x:v>
      </x:c>
      <x:c r="H42" s="17" t="str">
        <x:v>IEC 61508-2, Tabelle A.17, Nr. 3</x:v>
      </x:c>
      <x:c r="I42" s="20" t="str"/>
    </x:row>
    <x:row r="43" ht="100" customHeight="1">
      <x:c r="A43" s="18" t="str">
        <x:v>A.17/4</x:v>
      </x:c>
      <x:c r="B43" s="17" t="str">
        <x:v>Assertion-Programmierung</x:v>
      </x:c>
      <x:c r="C43" s="17" t="str">
        <x:v>Assertion-Programmierung prüft vor einer Aktion definierte Vorbedingungen und danach festgelegte Nachbedingungen. Abweichungen werden unmittelbar erkannt und gemeldet oder sicher behandelt. Assertions müssen sicherheitsrelevante Zustände abdecken und dürfen die Echtzeit- oder Fehlerreaktion nicht unzulässig beeinflussen.</x:v>
      </x:c>
      <x:c r="D43" s="17" t="str">
        <x:v>C.3.3</x:v>
      </x:c>
      <x:c r="E43" s="17" t="str">
        <x:v>siehe IEC 61508-3</x:v>
      </x:c>
      <x:c r="F43" s="17" t="str">
        <x:v>siehe IEC 61508-3</x:v>
      </x:c>
      <x:c r="G43" s="17" t="str">
        <x:v>siehe IEC 61508-3</x:v>
      </x:c>
      <x:c r="H43" s="17" t="str">
        <x:v>IEC 61508-2, Tabelle A.17, Nr. 4</x:v>
      </x:c>
      <x:c r="I43" s="20" t="str"/>
    </x:row>
    <x:row r="44" ht="100" customHeight="1">
      <x:c r="A44" s="18" t="str">
        <x:v>7.4.5/1</x:v>
      </x:c>
      <x:c r="B44" s="17" t="str">
        <x:v>Ursache-Wirkungs-Analyse</x:v>
      </x:c>
      <x:c r="C44" s="17" t="str">
        <x:v>Die Ursache-Wirkungs-Analyse verbindet Vorwärtsbetrachtungen möglicher Ereignisfolgen mit rückwärts gerichteten Fehlerbaumanalysen. Sie zeigt, welche Ursachen zu unerwünschten Wirkungen beitragen und welche Folgeereignisse daraus entstehen können. Die Analyse muss Systemgrenzen, Abhängigkeiten und Annahmen eindeutig dokumentieren.</x:v>
      </x:c>
      <x:c r="D44" s="17" t="str">
        <x:v>B.6.6.2</x:v>
      </x:c>
      <x:c r="E44" s="17" t="str">
        <x:v>—</x:v>
      </x:c>
      <x:c r="F44" s="17" t="str">
        <x:v>—</x:v>
      </x:c>
      <x:c r="G44" s="17" t="str">
        <x:v>—</x:v>
      </x:c>
      <x:c r="H44" s="17" t="str">
        <x:v>IEC 61508-2, 7.4.5.2, Anmerkung 2</x:v>
      </x:c>
      <x:c r="I44" s="20" t="str"/>
    </x:row>
    <x:row r="45" ht="100" customHeight="1">
      <x:c r="A45" s="18" t="str">
        <x:v>7.4.5/2</x:v>
      </x:c>
      <x:c r="B45" s="17" t="str">
        <x:v>Fehlerbaumanalyse</x:v>
      </x:c>
      <x:c r="C45" s="17" t="str">
        <x:v>Die Fehlerbaumanalyse zerlegt ein unerwünschtes Top-Ereignis über logische UND- und ODER-Verknüpfungen bis zu Basisereignissen. Sie kann qualitative Minimal-Schnittmengen und quantitative Beiträge bestimmen. Vollständigkeit, Unabhängigkeitsannahmen und Datenquellen sind kritisch zu prüfen.</x:v>
      </x:c>
      <x:c r="D45" s="17" t="str">
        <x:v>B.6.6.5</x:v>
      </x:c>
      <x:c r="E45" s="17" t="str">
        <x:v>—</x:v>
      </x:c>
      <x:c r="F45" s="17" t="str">
        <x:v>—</x:v>
      </x:c>
      <x:c r="G45" s="17" t="str">
        <x:v>—</x:v>
      </x:c>
      <x:c r="H45" s="17" t="str">
        <x:v>IEC 61508-2, 7.4.5.2, Anmerkung 2</x:v>
      </x:c>
      <x:c r="I45" s="20" t="str"/>
    </x:row>
    <x:row r="46" ht="100" customHeight="1">
      <x:c r="A46" s="18" t="str">
        <x:v>7.4.5/3</x:v>
      </x:c>
      <x:c r="B46" s="17" t="str">
        <x:v>Markov-Analyse</x:v>
      </x:c>
      <x:c r="C46" s="17" t="str">
        <x:v>Die Markov-Analyse bildet Systemzustände und Übergänge mit Ausfall- und Reparaturraten ab. Sie eignet sich für zeitabhängige, reparierbare und zustandsabhängige Architekturen. Zustandsraum, Übergangsraten und Modellvereinfachungen müssen begründet und validiert werden.</x:v>
      </x:c>
      <x:c r="D46" s="17" t="str">
        <x:v>B.6.6.6</x:v>
      </x:c>
      <x:c r="E46" s="17" t="str">
        <x:v>—</x:v>
      </x:c>
      <x:c r="F46" s="17" t="str">
        <x:v>—</x:v>
      </x:c>
      <x:c r="G46" s="17" t="str">
        <x:v>—</x:v>
      </x:c>
      <x:c r="H46" s="17" t="str">
        <x:v>IEC 61508-2, 7.4.5.2, Anmerkung 2</x:v>
      </x:c>
      <x:c r="I46" s="20" t="str"/>
    </x:row>
    <x:row r="47" ht="100" customHeight="1">
      <x:c r="A47" s="18" t="str">
        <x:v>7.4.5/4</x:v>
      </x:c>
      <x:c r="B47" s="17" t="str">
        <x:v>Zuverlässigkeitsblockdiagramm</x:v>
      </x:c>
      <x:c r="C47" s="17" t="str">
        <x:v>Das Zuverlässigkeitsblockdiagramm stellt erfolgreiche Funktionspfade durch Blöcke und logische Verknüpfungen dar. Reihen-, Parallel- und kombinierte Strukturen werden zur Berechnung der Zuverlässigkeit oder Verfügbarkeit genutzt. Die Abbildung der realen Ausfallabhängigkeiten und Betriebsarten muss nachgewiesen werden.</x:v>
      </x:c>
      <x:c r="D47" s="17" t="str">
        <x:v>B.6.6.7</x:v>
      </x:c>
      <x:c r="E47" s="17" t="str">
        <x:v>—</x:v>
      </x:c>
      <x:c r="F47" s="17" t="str">
        <x:v>—</x:v>
      </x:c>
      <x:c r="G47" s="17" t="str">
        <x:v>—</x:v>
      </x:c>
      <x:c r="H47" s="17" t="str">
        <x:v>IEC 61508-2, 7.4.5.2, Anmerkung 2</x:v>
      </x:c>
      <x:c r="I47" s="20" t="str"/>
    </x:row>
    <x:row r="48" ht="100" customHeight="1">
      <x:c r="A48" s="18" t="str">
        <x:v>7.4.5/5</x:v>
      </x:c>
      <x:c r="B48" s="17" t="str">
        <x:v>Zeitbewertete Petri-Netze</x:v>
      </x:c>
      <x:c r="C48" s="17" t="str">
        <x:v>Zeitbewertete Petri-Netze modellieren nebenläufige und asynchrone Abläufe durch Stellen, Transitionen und gerichtete Verbindungen. Gefährliche Zustände können als Modellzustände formuliert und Erreichbarkeit sowie zeitliches Verhalten untersucht werden. Erweiterungen um Zeit- und Datenflussinformationen erhöhen die Aussagekraft für komplexe Steuerungsabläufe.</x:v>
      </x:c>
      <x:c r="D48" s="17" t="str">
        <x:v>B.2.3.3</x:v>
      </x:c>
      <x:c r="E48" s="17" t="str">
        <x:v>—</x:v>
      </x:c>
      <x:c r="F48" s="17" t="str">
        <x:v>—</x:v>
      </x:c>
      <x:c r="G48" s="17" t="str">
        <x:v>—</x:v>
      </x:c>
      <x:c r="H48" s="17" t="str">
        <x:v>IEC 61508-2, 7.4.5.2, Anmerkung 2</x:v>
      </x:c>
      <x:c r="I48" s="20" t="str"/>
    </x:row>
    <x:row r="49" ht="100" customHeight="1">
      <x:c r="A49" s="18" t="str">
        <x:v>7.4.10</x:v>
      </x:c>
      <x:c r="B49" s="17" t="str">
        <x:v>Probabilistischer Betriebsbewährungsnachweis</x:v>
      </x:c>
      <x:c r="C49" s="17" t="str">
        <x:v>Anhang D beschreibt probabilistische Hinweise für den Nachweis der Betriebsbewährung. Die Statistik muss auf einer hinreichend großen, repräsentativen und kontrollierten Betriebserfahrung beruhen. Konfidenz, Betriebsprofil, Konfiguration und Erfassung von Ausfällen sind für die Übertragbarkeit auf die Zielanwendung zu begründen.</x:v>
      </x:c>
      <x:c r="D49" s="17" t="str">
        <x:v>D</x:v>
      </x:c>
      <x:c r="E49" s="17" t="str">
        <x:v>—</x:v>
      </x:c>
      <x:c r="F49" s="17" t="str">
        <x:v>—</x:v>
      </x:c>
      <x:c r="G49" s="17" t="str">
        <x:v>—</x:v>
      </x:c>
      <x:c r="H49" s="17" t="str">
        <x:v>IEC 61508-2, 7.4.10, Anmerkung</x:v>
      </x:c>
      <x:c r="I49" s="20" t="str"/>
    </x:row>
    <x:row r="51" ht="52" customHeight="1">
      <x:c r="A51" s="56" t="str">
        <x:v>Hinweis: ++ = dringend empfohlen, + = empfohlen, o = keine Empfehlung für oder gegen, -- = ausdrücklich nicht empfohlen. Verbindliche Einträge und Gruppenregeln der jeweiligen Tabelle sind zusätzlich zu beachten. SIL 4 ist entsprechend der vereinbarten Prüftiefe nicht dargestellt.</x:v>
      </x:c>
      <x:c r="B51" s="56"/>
      <x:c r="C51" s="56"/>
      <x:c r="D51" s="56"/>
      <x:c r="E51" s="56"/>
      <x:c r="F51" s="56"/>
      <x:c r="G51" s="56"/>
      <x:c r="H51" s="56"/>
      <x:c r="I51" s="56"/>
    </x:row>
  </x:sheetData>
  <x:mergeCells>
    <x:mergeCell ref="A1:I2"/>
    <x:mergeCell ref="A3:I3"/>
    <x:mergeCell ref="A5:I5"/>
    <x:mergeCell ref="A51:I51"/>
  </x:mergeCells>
  <x:pageMargins left="0.7" right="0.7" top="0.75" bottom="0.75" header="0.3" footer="0.3"/>
</x:worksheet>
</file>