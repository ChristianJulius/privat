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
    </mc:Choice>
  </mc:AlternateContent>
  <xr:revisionPtr revIDLastSave="0" documentId="13_ncr:1_{895FC73E-A975-4459-B3D7-477EE3D2BD19}" xr6:coauthVersionLast="47" xr6:coauthVersionMax="47" xr10:uidLastSave="{00000000-0000-0000-0000-000000000000}"/>
  <bookViews>
    <workbookView xWindow="-120" yWindow="-120" windowWidth="29040" windowHeight="15720" activeTab="5" xr2:uid="{00000000-000D-0000-FFFF-FFFF00000000}"/>
  </bookViews>
  <sheets>
    <sheet name="Übersicht" sheetId="1" r:id="rId1"/>
    <sheet name="Review 7.9" sheetId="2" r:id="rId2"/>
    <sheet name="Eingabe- &amp; Ausgabe" sheetId="3" r:id="rId3"/>
    <sheet name="Maßnahmen" sheetId="4" r:id="rId4"/>
    <sheet name="Anhang A.9" sheetId="5" r:id="rId5"/>
    <sheet name="Legende &amp; Hinweise" sheetId="6" r:id="rId6"/>
    <sheet name="Unterschrifte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3" l="1"/>
  <c r="H5" i="3"/>
  <c r="F5" i="3"/>
  <c r="D5" i="3"/>
  <c r="G20" i="1"/>
  <c r="E20" i="1"/>
  <c r="C20" i="1"/>
  <c r="A20" i="1"/>
  <c r="H20" i="1" s="1"/>
</calcChain>
</file>

<file path=xl/sharedStrings.xml><?xml version="1.0" encoding="utf-8"?>
<sst xmlns="http://schemas.openxmlformats.org/spreadsheetml/2006/main" count="739" uniqueCount="410">
  <si>
    <t>Reviewprotokoll IEC 61508-3 – Kapitel 7.9 Softwareverifikation</t>
  </si>
  <si>
    <t>Strukturierte Arbeitsmappe für SIL 1 bis SIL 3 · Eingabefelder sind gelb markiert</t>
  </si>
  <si>
    <t>Reviewdaten</t>
  </si>
  <si>
    <t>Projekt / Teilprojekt</t>
  </si>
  <si>
    <t>Review-Gegenstand</t>
  </si>
  <si>
    <t>Dokument / Referenz</t>
  </si>
  <si>
    <t>Index</t>
  </si>
  <si>
    <t>SIL</t>
  </si>
  <si>
    <t>Checkliste</t>
  </si>
  <si>
    <t>IEC 61508-3: Kapitel 7.9 Softwareverifikation</t>
  </si>
  <si>
    <t>Ort</t>
  </si>
  <si>
    <t>Datum / Zeitraum</t>
  </si>
  <si>
    <t>Reviewleitung</t>
  </si>
  <si>
    <t>Protokollführung</t>
  </si>
  <si>
    <t>Teilnehmer</t>
  </si>
  <si>
    <t>Teilnehmer 1</t>
  </si>
  <si>
    <t>Teilnehmer 2</t>
  </si>
  <si>
    <t>Teilnehmer 3</t>
  </si>
  <si>
    <t>Teilnehmer 4</t>
  </si>
  <si>
    <t>Fortschritt und Review-Ergebnis</t>
  </si>
  <si>
    <t>Prüfpunkte</t>
  </si>
  <si>
    <t>OK</t>
  </si>
  <si>
    <t>Nicht OK</t>
  </si>
  <si>
    <t>Nicht geprüft</t>
  </si>
  <si>
    <t>Abschluss</t>
  </si>
  <si>
    <t>Gesamtergebnis</t>
  </si>
  <si>
    <t>Ergebnis / Begründung</t>
  </si>
  <si>
    <t>Zusammenfassung</t>
  </si>
  <si>
    <t>Das Dokument wurde auf konzeptionelle Fehler, inhaltliche Fehler und auf Konformität zu den Anforderungen der IEC 61508 geprüft.</t>
  </si>
  <si>
    <t>Checkliste – IEC 61508-3, Kapitel 7.9</t>
  </si>
  <si>
    <t>Prüfergebnis: konkrete Bewertung des Prüfpunkts. Kommentar / Nachweis: Begründung, Referenz auf Nachweise oder offene Punkte.</t>
  </si>
  <si>
    <t>Kapitel 7.9</t>
  </si>
  <si>
    <t>Softwareverifikation</t>
  </si>
  <si>
    <t>15 Prüfpunkte einschließlich Ziel</t>
  </si>
  <si>
    <t>Dokumentenbezug</t>
  </si>
  <si>
    <t>Status / OK</t>
  </si>
  <si>
    <t>Nr.</t>
  </si>
  <si>
    <t>Normkapitel</t>
  </si>
  <si>
    <t>Prüffrage</t>
  </si>
  <si>
    <t>Prüfergebnis</t>
  </si>
  <si>
    <t>Kommentar / Nachweis</t>
  </si>
  <si>
    <t>E/A-Dokumente (IDs)</t>
  </si>
  <si>
    <t>Z1</t>
  </si>
  <si>
    <t>7.9.1</t>
  </si>
  <si>
    <t>Werden die Ergebnisse jeder Phase des Software-Sicherheitslebenszyklus in dem vom Sicherheits-Integritätslevel geforderten Umfang geprüft und bewertet, sodass ihre Korrektheit und Konsistenz gegenüber den vorgesehenen Eingaben nachgewiesen ist?</t>
  </si>
  <si>
    <t>D01, D22, D26</t>
  </si>
  <si>
    <t>1</t>
  </si>
  <si>
    <t>7.9.2.1</t>
  </si>
  <si>
    <t>Wurde die Softwareverifikation für jede Phase des Softwarelebenszyklus gleichzeitig mit der Entwicklung geplant und dokumentiert?</t>
  </si>
  <si>
    <t>D01</t>
  </si>
  <si>
    <t>2</t>
  </si>
  <si>
    <t>7.9.2.2</t>
  </si>
  <si>
    <t>Legt die Planung der Softwareverifikation fest:
a) wie die Anforderungen der Sicherheitsintegrität bewertet werden;
b) welche Verifikationsstrategien, Tätigkeiten und Verfahren ausgewählt und dokumentiert werden;
c) welche Verifikationswerkzeuge eingesetzt werden;
d) wie die Verifikationsergebnisse bewertet werden;
e) welche Berichtigungsmaßnahmen erforderlich sind?</t>
  </si>
  <si>
    <t>D01, D04, D26, D27</t>
  </si>
  <si>
    <t>3</t>
  </si>
  <si>
    <t>7.9.2.3</t>
  </si>
  <si>
    <t>Wurde die Softwareverifikation wie geplant durchgeführt?</t>
  </si>
  <si>
    <t>4</t>
  </si>
  <si>
    <t>7.9.2.4</t>
  </si>
  <si>
    <t>Ist dokumentiert, dass die verifizierte Phase in jeder Hinsicht zufriedenstellend abgeschlossen wurde?</t>
  </si>
  <si>
    <t>D22, D26</t>
  </si>
  <si>
    <t>5</t>
  </si>
  <si>
    <t>7.9.2.5</t>
  </si>
  <si>
    <t>Enthält die Dokumentation nach jeder Verifikation:
a) die Kennzeichnung der verifizierten Punkte;
b) die Kennzeichnung der Informationen, gegen die verifiziert wurde;
c) die festgestellten Nichtübereinstimmungen?</t>
  </si>
  <si>
    <t>D22–D25</t>
  </si>
  <si>
    <t>6</t>
  </si>
  <si>
    <t>7.9.2.6</t>
  </si>
  <si>
    <t>Sind alle wesentlichen Informationen einer Phase N, die für die ordnungsgemäße Ausführung der Phase N+1 benötigt werden, verfügbar und verifiziert? Wurde für die Ausgaben der Phase N geprüft:
a) ob Spezifikation, Entwurfsbeschreibung oder Code hinsichtlich Funktionalität, Sicherheitsintegrität, Leistungsfähigkeit, Sicherheitsplanung, Lesbarkeit, Prüfbarkeit und sicherer Modifizierbarkeit angemessen sind;
b) ob die Validierungs- und/oder Testplanung für Phase N angemessen ist;
c) ob Unverträglichkeiten zwischen den Tests der Phasen N und N-1 sowie innerhalb der Ausgaben der Phase N bestehen?</t>
  </si>
  <si>
    <t>D19–D21, D25</t>
  </si>
  <si>
    <t>7</t>
  </si>
  <si>
    <t>7.9.2.7</t>
  </si>
  <si>
    <t>Wurden – entsprechend dem gewählten Softwareentwicklungslebenszyklus – die erforderlichen Verifikationstätigkeiten durchgeführt:
a) Verifikation der Anforderungen an die Sicherheit der Software;
b) Verifikation der Softwarearchitektur;
c) Verifikation des Software-Systementwurfs;
d) Verifikation des Entwurfs der Softwaremodule;
e) Verifikation des Codes;
f) Verifikation der Daten;
g) Verifikation des zeitlichen Leistungsverhaltens;
h) Test der Softwaremodule nach 7.4.7;
i) Softwareintegrationstest nach 7.4.8;
j) Test der Integration der programmierbaren Elektronik nach 7.5;
k) Validierung der Systemsicherheit bezüglich der Software nach 7.7?</t>
  </si>
  <si>
    <t>D02, D05, D07, D09, D11, D13, D18, D28–D37</t>
  </si>
  <si>
    <t>8</t>
  </si>
  <si>
    <t>7.9.2.8</t>
  </si>
  <si>
    <t>Wurde nach Fertigstellung der Software-Sicherheitsanforderungen und vor Beginn der nächsten Entwicklungsphase geprüft:
a) ob die Software-Sicherheitsanforderungen die Anforderungen an die Sicherheit des E/E/PE-Systems hinsichtlich Funktionalität, Sicherheitsintegrität, Leistungsfähigkeit und Sicherheitsplanung angemessen erfüllen;
b) ob der Validierungsplan für die Softwareaspekte der Systemsicherheit die Software-Sicherheitsanforderungen angemessen erfüllt;
c) ob Unverträglichkeiten zwischen den Software-Sicherheitsanforderungen, den E/E/PE-System-Sicherheitsanforderungen und dem Validierungsplan bestehen?</t>
  </si>
  <si>
    <t>D02–D04, D25, D28</t>
  </si>
  <si>
    <t>9</t>
  </si>
  <si>
    <t>7.9.2.9</t>
  </si>
  <si>
    <t>Wurde nach Abschluss des Softwarearchitektur-Entwurfs geprüft:
a) ob die Softwarearchitektur die Software-Sicherheitsanforderungen angemessen erfüllt;
b) ob die dafür spezifizierten Integrationstests angemessen sind;
c) ob jede Hauptkomponente und jedes Teilsystem die erforderliche sicherheitstechnische Leistungsfähigkeit, Testbarkeit, Lesbarkeit und sichere Modifizierbarkeit besitzt;
d) ob Unverträglichkeiten zwischen Softwarearchitektur, Software-Sicherheitsanforderungen, Integrationstests und Validierungsplan bestehen?</t>
  </si>
  <si>
    <t>D04–D06, D25, D29</t>
  </si>
  <si>
    <t>10</t>
  </si>
  <si>
    <t>7.9.2.10</t>
  </si>
  <si>
    <t>Wurde nach Abschluss des Software-Systementwurfs geprüft:
a) ob der Software-Systementwurf den Softwarearchitektur-Entwurf angemessen erfüllt;
b) ob die spezifizierten Integrationstests des Softwaresystems für den Software-Systementwurf angemessen sind;
c) ob jedes Hauptelement des Software-Systementwurfs die erforderliche sicherheitstechnische Leistungsfähigkeit, Testbarkeit, Lesbarkeit und sichere Modifizierbarkeit besitzt;
d) ob Unverträglichkeiten zwischen Software-Systementwurf, Softwarearchitektur, System-Integrationstests und den Integrationstests der Softwarearchitektur bestehen?</t>
  </si>
  <si>
    <t>D05, D07, D08, D25, D30</t>
  </si>
  <si>
    <t>11</t>
  </si>
  <si>
    <t>7.9.2.11</t>
  </si>
  <si>
    <t>Wurde nach Abschluss des Entwurfs jedes Softwaremoduls geprüft:
a) ob die Softwaremodul-Entwürfe den Software-Systementwurf angemessen erfüllen;
b) ob die Testspezifikation für jedes Softwaremodul zum jeweiligen Modulentwurf passt;
c) ob jedes Softwaremodul die erforderliche sicherheitstechnische Leistungsfähigkeit, Testbarkeit, Lesbarkeit und sichere Modifizierbarkeit besitzt;
d) ob Unverträglichkeiten zwischen Modulentwürfen, Software-Systementwurf, Modultests und System-Integrationstests bestehen?</t>
  </si>
  <si>
    <t>D07, D09, D10, D25, D31</t>
  </si>
  <si>
    <t>12</t>
  </si>
  <si>
    <t>7.9.2.12</t>
  </si>
  <si>
    <t>Wurde der Source-Code mit statischen Verfahren auf Übereinstimmung mit:
a) der Spezifikation des Entwurfs der Softwaremodule;
b) den geforderten Programmierrichtlinien;
c) dem Validierungsplan für die Softwareaspekte der Systemsicherheit verifiziert?</t>
  </si>
  <si>
    <t>D04, D09, D11, D12, D25, D32</t>
  </si>
  <si>
    <t>13</t>
  </si>
  <si>
    <t>7.9.2.13</t>
  </si>
  <si>
    <t>Wurde bei der Datenverifikation geprüft:
a) die Datenstrukturen;
b) die Anwendungsdaten hinsichtlich Übereinstimmung mit den Datenstrukturen, Vollständigkeit, Verträglichkeit mit der untergeordneten Systemsoftware und Korrektheit der Werte;
c) alle Betriebsparameter gegenüber den Anwendungsanforderungen;
d) alle Anlagenschnittstellen und die zugehörige Software hinsichtlich Erkennung und Beherrschung voraussichtlicher Schnittstellenausfälle;
e) alle Kommunikationsschnittstellen und die zugehörige Software hinsichtlich Ausfallerkennung, Schutz vor Verfälschung und Datenvalidierung?</t>
  </si>
  <si>
    <t>D13–D17, D25, D33</t>
  </si>
  <si>
    <t>14</t>
  </si>
  <si>
    <t>7.9.2.14</t>
  </si>
  <si>
    <t>Wurde die Vorhersagbarkeit des zeitlichen Verhaltens verifiziert?</t>
  </si>
  <si>
    <t>D18, D34</t>
  </si>
  <si>
    <t>Eingabe- und Ausgabedokumente der Softwareverifikation</t>
  </si>
  <si>
    <t>Normnahes Dokumentenregister: vorbereitete Dokumenttypen mit Bezug zu Prüfpunkt und Normkapitel. Gelbe Zellen werden projektspezifisch ausgefüllt.</t>
  </si>
  <si>
    <t>Dokumente</t>
  </si>
  <si>
    <t>Eingaben</t>
  </si>
  <si>
    <t>Ausgaben</t>
  </si>
  <si>
    <t>Geprüft / freigegeben</t>
  </si>
  <si>
    <t>Nicht vorgelegt</t>
  </si>
  <si>
    <t>ID</t>
  </si>
  <si>
    <t>Art</t>
  </si>
  <si>
    <t>Normbegriff / Dokument</t>
  </si>
  <si>
    <t>Funktion / erwarteter Inhalt</t>
  </si>
  <si>
    <t>Bezug Prüfpunkt</t>
  </si>
  <si>
    <t>Normreferenz</t>
  </si>
  <si>
    <t>Dokumentkennung / Referenz</t>
  </si>
  <si>
    <t>Version / Index</t>
  </si>
  <si>
    <t>Status</t>
  </si>
  <si>
    <t>Verantwortlich</t>
  </si>
  <si>
    <t>Ablageort / Link</t>
  </si>
  <si>
    <t>Eingabe / Ausgabe</t>
  </si>
  <si>
    <t>Plan der Softwareverifikation</t>
  </si>
  <si>
    <t>Legt Verifikationsstrategien, Tätigkeiten, Verfahren, Werkzeuge, Bewertung der Ergebnisse und Berichtigungsmaßnahmen fest.</t>
  </si>
  <si>
    <t>1, 2, 3</t>
  </si>
  <si>
    <t>IEC 61508-3, 7.9.2.1 bis 7.9.2.3</t>
  </si>
  <si>
    <t>D02</t>
  </si>
  <si>
    <t>Eingabe</t>
  </si>
  <si>
    <t>Software-Sicherheitsanforderungen</t>
  </si>
  <si>
    <t>Bezugsgrundlage für die Verifikation der Anforderungen, Architektur und nachfolgenden Entwicklungsphasen.</t>
  </si>
  <si>
    <t>7, 8, 9</t>
  </si>
  <si>
    <t>IEC 61508-3, 7.9.2.7 a), 7.9.2.8 und 7.9.2.9 a), d)</t>
  </si>
  <si>
    <t>D03</t>
  </si>
  <si>
    <t>Anforderungen an die Sicherheit des E/E/PE-Systems</t>
  </si>
  <si>
    <t>Übergeordnete Bezugsgrundlage zur Prüfung der Software-Sicherheitsanforderungen.</t>
  </si>
  <si>
    <t>IEC 61508-3, 7.9.2.8 a), c)</t>
  </si>
  <si>
    <t>D04</t>
  </si>
  <si>
    <t>Validierungsplan für die Softwareaspekte der Systemsicherheit</t>
  </si>
  <si>
    <t>Bezugsgrundlage für Anforderungen, Architektur, Source-Code und die Validierung der Softwareaspekte der Systemsicherheit.</t>
  </si>
  <si>
    <t>2, 8, 9, 12</t>
  </si>
  <si>
    <t>IEC 61508-3, 7.9.2.2, 7.9.2.8 b), c), 7.9.2.9 d) und 7.9.2.12 c)</t>
  </si>
  <si>
    <t>D05</t>
  </si>
  <si>
    <t>Softwarearchitektur-Entwurf</t>
  </si>
  <si>
    <t>Beschreibung der Softwarearchitektur als Bezugsgrundlage für Architektur- und Systementwurfsverifikation.</t>
  </si>
  <si>
    <t>7, 9, 10</t>
  </si>
  <si>
    <t>IEC 61508-3, 7.9.2.7 b), 7.9.2.9 und 7.9.2.10</t>
  </si>
  <si>
    <t>D06</t>
  </si>
  <si>
    <t>Spezifikation der Integrationstests für die Softwarearchitektur</t>
  </si>
  <si>
    <t>Festgelegte Integrationstests zur Prüfung der Softwarearchitektur.</t>
  </si>
  <si>
    <t>IEC 61508-3, 7.9.2.9 b), d)</t>
  </si>
  <si>
    <t>D07</t>
  </si>
  <si>
    <t>Software-Systementwurf</t>
  </si>
  <si>
    <t>Bezugsgrundlage für die Verifikation des Software-Systementwurfs und der Softwaremodul-Entwürfe.</t>
  </si>
  <si>
    <t>7, 10, 11</t>
  </si>
  <si>
    <t>IEC 61508-3, 7.9.2.7 c), 7.9.2.10 und 7.9.2.11 a), d)</t>
  </si>
  <si>
    <t>D08</t>
  </si>
  <si>
    <t>Spezifikation der Integrationstests des Softwaresystems</t>
  </si>
  <si>
    <t>Festgelegte Integrationstests zur Prüfung des Software-Systementwurfs.</t>
  </si>
  <si>
    <t>IEC 61508-3, 7.9.2.10 b), d)</t>
  </si>
  <si>
    <t>D09</t>
  </si>
  <si>
    <t>Spezifikation des Entwurfs der Softwaremodule / Softwaremodul-Entwürfe</t>
  </si>
  <si>
    <t>Bezugsgrundlage für Modulverifikation und statische Verifikation des Source-Codes.</t>
  </si>
  <si>
    <t>7, 11, 12</t>
  </si>
  <si>
    <t>IEC 61508-3, 7.9.2.7 d), 7.9.2.11 und 7.9.2.12 a)</t>
  </si>
  <si>
    <t>D10</t>
  </si>
  <si>
    <t>Testspezifikation für jedes Softwaremodul</t>
  </si>
  <si>
    <t>Festgelegte Modulprüfungen, die zum jeweiligen Softwaremodul-Entwurf passen müssen.</t>
  </si>
  <si>
    <t>IEC 61508-3, 7.9.2.11 b), d)</t>
  </si>
  <si>
    <t>D11</t>
  </si>
  <si>
    <t>Source-Code</t>
  </si>
  <si>
    <t>Verifikationsgegenstand der statischen Verfahren.</t>
  </si>
  <si>
    <t>7, 12</t>
  </si>
  <si>
    <t>IEC 61508-3, 7.9.2.7 e) und 7.9.2.12</t>
  </si>
  <si>
    <t>D12</t>
  </si>
  <si>
    <t>Programmierrichtlinien</t>
  </si>
  <si>
    <t>Bezugsgrundlage zur Prüfung der Richtlinienkonformität des Source-Codes.</t>
  </si>
  <si>
    <t>IEC 61508-3, 7.9.2.12 b)</t>
  </si>
  <si>
    <t>D13</t>
  </si>
  <si>
    <t>Datenstrukturen</t>
  </si>
  <si>
    <t>Bezugsgrundlage für die Verifikation von Anwendungsdaten und Datenbeziehungen.</t>
  </si>
  <si>
    <t>7, 13</t>
  </si>
  <si>
    <t>IEC 61508-3, 7.9.2.7 f), 7.9.2.13 a), b)</t>
  </si>
  <si>
    <t>D14</t>
  </si>
  <si>
    <t>Anwendungsdaten</t>
  </si>
  <si>
    <t>Zu prüfen auf Übereinstimmung, Vollständigkeit, Verträglichkeit und Korrektheit der Werte.</t>
  </si>
  <si>
    <t>IEC 61508-3, 7.9.2.13 b)</t>
  </si>
  <si>
    <t>D15</t>
  </si>
  <si>
    <t>Betriebsparameter</t>
  </si>
  <si>
    <t>Zu prüfen gegenüber den Anwendungsanforderungen.</t>
  </si>
  <si>
    <t>IEC 61508-3, 7.9.2.13 c)</t>
  </si>
  <si>
    <t>D16</t>
  </si>
  <si>
    <t>Anlagenschnittstellen und zugehörige Software</t>
  </si>
  <si>
    <t>Bezugsgrundlage für die Prüfung der Erkennung und Beherrschung voraussichtlicher Schnittstellenausfälle.</t>
  </si>
  <si>
    <t>IEC 61508-3, 7.9.2.13 d)</t>
  </si>
  <si>
    <t>D17</t>
  </si>
  <si>
    <t>Kommunikationsschnittstellen und zugehörige Software</t>
  </si>
  <si>
    <t>Bezugsgrundlage für Ausfallerkennung, Schutz vor Verfälschung und Datenvalidierung.</t>
  </si>
  <si>
    <t>IEC 61508-3, 7.9.2.13 e)</t>
  </si>
  <si>
    <t>D18</t>
  </si>
  <si>
    <t>Anforderungen an das zeitliche Leistungsverhalten</t>
  </si>
  <si>
    <t>Bezugsgrundlage für den Nachweis der Vorhersagbarkeit des zeitlichen Verhaltens.</t>
  </si>
  <si>
    <t>7, 14</t>
  </si>
  <si>
    <t>IEC 61508-3, 7.9.2.7 g) und 7.9.2.14</t>
  </si>
  <si>
    <t>D19</t>
  </si>
  <si>
    <t>Ausgaben der Phase N / Eingaben der Phase N+1</t>
  </si>
  <si>
    <t>Wesentliche Informationen für die ordnungsgemäße Ausführung der nachfolgenden Phase.</t>
  </si>
  <si>
    <t>IEC 61508-3, 7.9.2.6</t>
  </si>
  <si>
    <t>D20</t>
  </si>
  <si>
    <t>Validierungs- und/oder Testplanung für Phase N</t>
  </si>
  <si>
    <t>Bezugsgrundlage zur Beurteilung der Angemessenheit der Planung.</t>
  </si>
  <si>
    <t>IEC 61508-3, 7.9.2.6 b)</t>
  </si>
  <si>
    <t>D21</t>
  </si>
  <si>
    <t>Tests der Phasen N und N-1</t>
  </si>
  <si>
    <t>Bezugsgrundlage zur Erkennung von Unverträglichkeiten zwischen Phasen und innerhalb der Ausgaben.</t>
  </si>
  <si>
    <t>IEC 61508-3, 7.9.2.6 c)</t>
  </si>
  <si>
    <t>D22</t>
  </si>
  <si>
    <t>Ausgabe</t>
  </si>
  <si>
    <t>Dokumentation der Softwareverifikation / Verifikationsbericht</t>
  </si>
  <si>
    <t>Dokumentiert Durchführung, Abschluss, Bezugsinformationen und Ergebnisse der Softwareverifikation.</t>
  </si>
  <si>
    <t>3, 4, 5</t>
  </si>
  <si>
    <t>IEC 61508-3, 7.9.2.3 bis 7.9.2.5</t>
  </si>
  <si>
    <t>D23</t>
  </si>
  <si>
    <t>Kennzeichnung der verifizierten Punkte</t>
  </si>
  <si>
    <t>Eindeutige Identifikation der geprüften Anforderungen, Entwurfsanteile, Codes, Daten oder Tests.</t>
  </si>
  <si>
    <t>IEC 61508-3, 7.9.2.5 a)</t>
  </si>
  <si>
    <t>D24</t>
  </si>
  <si>
    <t>Kennzeichnung der Informationen, gegen die verifiziert wurde</t>
  </si>
  <si>
    <t>Eindeutige Identifikation und Version der verwendeten Bezugsdokumente.</t>
  </si>
  <si>
    <t>IEC 61508-3, 7.9.2.5 b)</t>
  </si>
  <si>
    <t>D25</t>
  </si>
  <si>
    <t>Dokumentierte Nichtübereinstimmungen</t>
  </si>
  <si>
    <t>Festgestellte Abweichungen zwischen Verifikationsgegenstand, Bezugsinformation und Planung.</t>
  </si>
  <si>
    <t>5, 6, 8–13</t>
  </si>
  <si>
    <t>IEC 61508-3, 7.9.2.5 c), 7.9.2.6 sowie 7.9.2.8 bis 7.9.2.13</t>
  </si>
  <si>
    <t>D26</t>
  </si>
  <si>
    <t>Verifikationsergebnisse und Bewertung der Ergebnisse</t>
  </si>
  <si>
    <t>Nachvollziehbare Ergebnisse einschließlich Bewertung, ob die verifizierte Phase zufriedenstellend abgeschlossen wurde.</t>
  </si>
  <si>
    <t>2, 3, 4</t>
  </si>
  <si>
    <t>IEC 61508-3, 7.9.2.2 d), 7.9.2.3 und 7.9.2.4</t>
  </si>
  <si>
    <t>D27</t>
  </si>
  <si>
    <t>Berichtigungsmaßnahmen</t>
  </si>
  <si>
    <t>Aus der Bewertung abgeleitete und nachverfolgte Korrekturmaßnahmen.</t>
  </si>
  <si>
    <t>2, 5</t>
  </si>
  <si>
    <t>IEC 61508-3, 7.9.2.2 e) und 7.9.2.5 c)</t>
  </si>
  <si>
    <t>D28</t>
  </si>
  <si>
    <t>Nachweis der Verifikation der Anforderungen an die Sicherheit der Software</t>
  </si>
  <si>
    <t>Verifikationsergebnis für die Software-Sicherheitsanforderungen.</t>
  </si>
  <si>
    <t>7, 8</t>
  </si>
  <si>
    <t>IEC 61508-3, 7.9.2.7 a) und 7.9.2.8</t>
  </si>
  <si>
    <t>D29</t>
  </si>
  <si>
    <t>Nachweis der Verifikation der Softwarearchitektur</t>
  </si>
  <si>
    <t>Verifikationsergebnis für den Softwarearchitektur-Entwurf und die zugehörigen Integrationstests.</t>
  </si>
  <si>
    <t>7, 9</t>
  </si>
  <si>
    <t>IEC 61508-3, 7.9.2.7 b) und 7.9.2.9</t>
  </si>
  <si>
    <t>D30</t>
  </si>
  <si>
    <t>Nachweis der Verifikation des Software-Systementwurfs</t>
  </si>
  <si>
    <t>Verifikationsergebnis für den Software-Systementwurf und die zugehörigen Integrationstests.</t>
  </si>
  <si>
    <t>7, 10</t>
  </si>
  <si>
    <t>IEC 61508-3, 7.9.2.7 c) und 7.9.2.10</t>
  </si>
  <si>
    <t>D31</t>
  </si>
  <si>
    <t>Nachweis der Verifikation des Entwurfs der Softwaremodule</t>
  </si>
  <si>
    <t>Verifikationsergebnis für Softwaremodul-Entwürfe und Modul-Testspezifikationen.</t>
  </si>
  <si>
    <t>7, 11</t>
  </si>
  <si>
    <t>IEC 61508-3, 7.9.2.7 d) und 7.9.2.11</t>
  </si>
  <si>
    <t>D32</t>
  </si>
  <si>
    <t>Nachweis der statischen Verifikation des Source-Codes</t>
  </si>
  <si>
    <t>Ergebnisse statischer Verfahren gegen Modulentwurf, Programmierrichtlinien und Validierungsplan.</t>
  </si>
  <si>
    <t>D33</t>
  </si>
  <si>
    <t>Nachweis der Datenverifikation</t>
  </si>
  <si>
    <t>Ergebnisse der Verifikation von Datenstrukturen, Anwendungsdaten, Betriebsparametern und Schnittstellen.</t>
  </si>
  <si>
    <t>IEC 61508-3, 7.9.2.7 f) und 7.9.2.13</t>
  </si>
  <si>
    <t>D34</t>
  </si>
  <si>
    <t>Nachweis der Verifikation des zeitlichen Leistungsverhaltens</t>
  </si>
  <si>
    <t>Ergebnis zur Vorhersagbarkeit des zeitlichen Verhaltens.</t>
  </si>
  <si>
    <t>D35</t>
  </si>
  <si>
    <t>Testberichte der Softwaremodule und der Softwareintegration</t>
  </si>
  <si>
    <t>Nachweise aus Softwaremodultest und Softwareintegrationstest.</t>
  </si>
  <si>
    <t>IEC 61508-3, 7.9.2.7 h), i), 7.4.7 und 7.4.8</t>
  </si>
  <si>
    <t>D36</t>
  </si>
  <si>
    <t>Testbericht der Integration der programmierbaren Elektronik</t>
  </si>
  <si>
    <t>Nachweis der Integration von Hardware und Software der programmierbaren Elektronik.</t>
  </si>
  <si>
    <t>IEC 61508-3, 7.9.2.7 j) und 7.5</t>
  </si>
  <si>
    <t>D37</t>
  </si>
  <si>
    <t>Validierungsbericht der Systemsicherheit bezüglich der Software</t>
  </si>
  <si>
    <t>Nachweis der Validierung der Softwareaspekte der Systemsicherheit.</t>
  </si>
  <si>
    <t>IEC 61508-3, 7.9.2.7 k) und 7.7</t>
  </si>
  <si>
    <t>Review-Ergebnisse und durchzuführende Maßnahmen</t>
  </si>
  <si>
    <t>A = Aufgabe · I = Information · B = Beschluss. Der Bezug zum Prüfpunkt ermöglicht die direkte Rückverfolgung.</t>
  </si>
  <si>
    <t>Typ</t>
  </si>
  <si>
    <t>Review-Ergebnis / Maßnahme</t>
  </si>
  <si>
    <t>Fällig am</t>
  </si>
  <si>
    <t>M-01</t>
  </si>
  <si>
    <t>Offen</t>
  </si>
  <si>
    <t>M-02</t>
  </si>
  <si>
    <t>M-03</t>
  </si>
  <si>
    <t>M-04</t>
  </si>
  <si>
    <t>M-05</t>
  </si>
  <si>
    <t>M-06</t>
  </si>
  <si>
    <t>M-07</t>
  </si>
  <si>
    <t>M-08</t>
  </si>
  <si>
    <t>M-09</t>
  </si>
  <si>
    <t>M-10</t>
  </si>
  <si>
    <t>M-11</t>
  </si>
  <si>
    <t>M-12</t>
  </si>
  <si>
    <t>M-13</t>
  </si>
  <si>
    <t>M-14</t>
  </si>
  <si>
    <t>M-15</t>
  </si>
  <si>
    <t>M-16</t>
  </si>
  <si>
    <t>M-17</t>
  </si>
  <si>
    <t>M-18</t>
  </si>
  <si>
    <t>M-19</t>
  </si>
  <si>
    <t>M-20</t>
  </si>
  <si>
    <t>Tabelle A.9 – Softwareverifikation (siehe 7.9)</t>
  </si>
  <si>
    <t>Normnahe Erläuterungen und vollständige Referenzen; Anwendbarkeit für SIL 1 bis SIL 3.</t>
  </si>
  <si>
    <t>Verfahren / Maßnahme</t>
  </si>
  <si>
    <t>Siehe</t>
  </si>
  <si>
    <t>SIL 1</t>
  </si>
  <si>
    <t>SIL 2</t>
  </si>
  <si>
    <t>SIL 3</t>
  </si>
  <si>
    <t>Erläuterung</t>
  </si>
  <si>
    <t>Formaler Beweis</t>
  </si>
  <si>
    <t>C.5.12</t>
  </si>
  <si>
    <t>O</t>
  </si>
  <si>
    <t>+</t>
  </si>
  <si>
    <t>Beim formalen Beweis wird ein mathematisch beschriebenes Modell des Programms gegen eine formal festgelegte Eigenschaft geprüft. Damit können Aussagen für alle vom Modell erfassten Eingaben getroffen werden, jedoch nur innerhalb der dokumentierten Annahmen und Abstraktionsgrenzen. Zusätzlich muss nachgewiesen werden, dass das Modell die tatsächliche Software für die betrachteten Eigenschaften korrekt abbildet; Tests und Simulation werden dadurch nicht vollständig ersetzt.</t>
  </si>
  <si>
    <t>IEC 61508-7, C.5.12; IEC 61508-3, Tabelle A.9</t>
  </si>
  <si>
    <t>Animation der Spezifikation und des Entwurfs</t>
  </si>
  <si>
    <t>C.5.26</t>
  </si>
  <si>
    <t>Bei der Animation wird eine Spezifikation oder ein Entwurf auf höherem Abstraktionsniveau ausführbar oder beobachtbar gemacht. Dadurch lassen sich Verhalten, Ausgaben, Bedienabläufe und Missverständnisse früh prüfen; außerdem können erwartete Ergebnisse oder spätere Testfälle abgeleitet werden. Zu dokumentieren sind die animierte Version, Szenarien, Annahmen, festgestellte Abweichungen und die Rückführung der Ergebnisse in Spezifikation oder Entwurf.</t>
  </si>
  <si>
    <t>IEC 61508-7, C.5.26; IEC 61508-3, Tabelle A.9</t>
  </si>
  <si>
    <t>Statische Analyse</t>
  </si>
  <si>
    <t>B.6.4, Tabelle B.8</t>
  </si>
  <si>
    <t>++</t>
  </si>
  <si>
    <t>Die statische Analyse untersucht Spezifikation, Entwurf oder Code, ohne die Software auszuführen. Sie dient unter anderem der Prüfung von Grenzwerten, Kontroll- und Datenfluss, Schnittstellen, Richtlinienkonformität, nicht erreichbarem Code, Laufzeitfehlern und Worst-Case-Ausführungszeit. Im Review sind verwendete Regeln und Werkzeuge, analysierte Baseline, vollständig bewertete Befunde, begründete Ausnahmen und der Abschluss der Korrekturen nachzuweisen.</t>
  </si>
  <si>
    <t>IEC 61508-7, B.6.4; IEC 61508-3, Tabelle B.8 mit Verweisen auf C.5.4, B.2.5, C.5.9 bis C.5.11, C.5.14 bis C.5.16, B.2.2, C.2.4 und C.5.20</t>
  </si>
  <si>
    <t>Dynamische Analyse und Test</t>
  </si>
  <si>
    <t>B.6.5, Tabelle B.2</t>
  </si>
  <si>
    <t>Die dynamische Analyse untersucht das beobachtbare Laufzeitverhalten einer nahezu betriebsfertigen Software unter repräsentativen Bedingungen. Ergänzend werden Grenzwerte, Fehlererwartung und Fehlereinpflanzung, Äquivalenzklassen, Strukturabdeckung, Leistungsmodelle und modellbasiert erzeugte Tests eingesetzt. Jede Abweichung muss korrigiert und die geänderte Version erneut analysiert werden; Testdaten, Umgebung, Abdeckung und Ergebnisse sind reproduzierbar zu dokumentieren.</t>
  </si>
  <si>
    <t>IEC 61508-7, B.6.5; IEC 61508-3, Tabelle B.2 mit Verweisen auf C.5.4 bis C.5.8, C.5.20 und C.5.27</t>
  </si>
  <si>
    <t>Vorwärtsverfolgbarkeit von der Spezifikation des Softwareentwurfs zum Plan der Softwareverifikation (einschließlich Verifikation der Daten)</t>
  </si>
  <si>
    <t>C.2.11</t>
  </si>
  <si>
    <t>Die Vorwärtsverfolgbarkeit zeigt, dass jedes relevante Element des Softwareentwurfs durch eine geeignete Verifikation im Verifikationsplan abgedeckt ist, einschließlich der Datenverifikation. Fehlende Prüfungen oder nicht betrachtete Schnittstellen werden dadurch sichtbar. Erwartet wird eine Zuordnung von Entwurfselement und Eigenschaft zu Verfahren, Prüfkriterium, Ergebnis und offenem beziehungsweise abgeschlossenem Befund.</t>
  </si>
  <si>
    <t>IEC 61508-7, C.2.11; IEC 61508-3, Tabelle A.9</t>
  </si>
  <si>
    <t>Rückwärtsverfolgbarkeit vom Plan der Softwareverifikation (einschließlich Verifikation der Daten) zur Spezifikation des Softwareentwurfs</t>
  </si>
  <si>
    <t>Die Rückwärtsverfolgbarkeit belegt, dass jede Tätigkeit im Softwareverifikationsplan durch ein Entwurfselement, eine geforderte Eigenschaft oder eine Datenanforderung begründet ist. Damit werden unnötige Prüfungen, fehlende Entwurfsgrundlagen und nicht freigegebene Funktionsanteile erkannt. Die Zuordnung muss bidirektional, versionsbezogen und bis zum dokumentierten Ergebnis prüfbar sein.</t>
  </si>
  <si>
    <t>Numerische Analyse offline</t>
  </si>
  <si>
    <t>C.2.13</t>
  </si>
  <si>
    <t>Die numerische Offline-Analyse prüft, ob Rundungs-, Abbruch- und Darstellungsfehler die für die Anwendung erforderliche Genauigkeit gefährden. Besonders bei Fließkommarechnung und Näherungsverfahren sind Wertebereiche, Fehlerfortpflanzung, Grenzfälle und die verwendete Rechnerdarstellung zu untersuchen. Als Nachweis dienen eine dokumentierte Fehlerabschätzung, Referenzrechnungen und Tests gegen festgelegte Genauigkeitsgrenzen.</t>
  </si>
  <si>
    <t>IEC 61508-7, C.2.13; IEC 61508-3, Tabelle A.9</t>
  </si>
  <si>
    <t>Q1</t>
  </si>
  <si>
    <t>Test der Softwaremodule und der Integration</t>
  </si>
  <si>
    <t>Tabelle A.5</t>
  </si>
  <si>
    <t>Die Modul- und Softwareintegrationstests nach Tabelle A.5 sind selbst Verifikationstätigkeiten und werden in Tabelle A.9 deshalb nur zusammenfassend verwiesen. Sie prüfen einzelne Module sowie ihr Zusammenwirken durch dokumentierte statische und dynamische Verfahren. Für die Softwareverifikation sind die zugehörigen Spezifikationen, Testkonfigurationen, Soll-/Ist-Ergebnisse, Abdeckungsnachweise und abgeschlossenen Abweichungen einzubeziehen.</t>
  </si>
  <si>
    <t>IEC 61508-3, Tabelle A.5 und 7.4.7 bis 7.4.8; IEC 61508-7, C.5.1 bis C.5.8, C.5.12, C.5.19 bis C.5.22, C.5.27, B.5.1, B.5.2 und B.6.5</t>
  </si>
  <si>
    <t>Q2</t>
  </si>
  <si>
    <t>Test der Integration der programmierbaren Elektronik</t>
  </si>
  <si>
    <t>Tabelle A.6</t>
  </si>
  <si>
    <t>Der Test der Integration der programmierbaren Elektronik nach Tabelle A.6 ist eine Verifikation der zusammengefügten Hardware-/Software-Einheit. Er umfasst funktionale Black-Box-Prüfungen, Leistungsprüfungen und die Verfolgbarkeit von den Integrationsanforderungen zu den Integrationstests. Die Ergebnisse müssen für die tatsächlich geprüfte Zielhardware und Softwareversion vollständig in die Verifikationsbewertung übernommen werden.</t>
  </si>
  <si>
    <t>IEC 61508-3, Tabelle A.6 und 7.5; IEC 61508-7, B.5.1, B.5.2, C.5.19, C.5.21, C.5.22 und C.2.11</t>
  </si>
  <si>
    <t>Q3</t>
  </si>
  <si>
    <t>Test des Softwaresystems (Validierung)</t>
  </si>
  <si>
    <t>Tabelle A.7</t>
  </si>
  <si>
    <t>Die Validierung des Softwaresystems nach Tabelle A.7 weist die Übereinstimmung mit den Software-Sicherheitsanforderungen nach und ist zugleich ein wesentlicher Nachweis für die durchgehende Verifikation. Ein zusätzlicher, gleichartiger Verifikationstest ist dadurch nicht gefordert; die Validierungsergebnisse müssen jedoch in die Gesamtbewertung einbezogen werden. Zu prüfen sind vollständige Anforderungsabdeckung, repräsentative Betriebs- und Fehlerfälle, dokumentierte Abweichungen und das eindeutige Validierungsurteil.</t>
  </si>
  <si>
    <t>IEC 61508-3, Tabelle A.7, 7.7 und Tabelle A.9; IEC 61508-7, C.5.1, C.5.18, B.5.1, B.5.2 und C.2.11</t>
  </si>
  <si>
    <t>Legende und Anwendungshinweise</t>
  </si>
  <si>
    <t>Empfehlungsgrade nach IEC 61508</t>
  </si>
  <si>
    <t>Kennzeichen</t>
  </si>
  <si>
    <t>Bedeutung</t>
  </si>
  <si>
    <t>Anwendung im Review</t>
  </si>
  <si>
    <t>Geltungsbereich</t>
  </si>
  <si>
    <t>Für diesen SIL besonders empfohlen</t>
  </si>
  <si>
    <t>Bevorzugt anzuwenden; Nichtanwendung nachvollziehbar begründen.</t>
  </si>
  <si>
    <t>SIL 1 bis SIL 3 gemäß Tabelle A.9</t>
  </si>
  <si>
    <t>Für diesen SIL empfohlen</t>
  </si>
  <si>
    <t>Anwendung einplanen oder eine geeignete Alternative begründen.</t>
  </si>
  <si>
    <t>Keine Empfehlung für oder gegen die Anwendung</t>
  </si>
  <si>
    <t>Einsatz projektspezifisch bewerten und dokumentieren.</t>
  </si>
  <si>
    <t>--</t>
  </si>
  <si>
    <t>Für diesen SIL nicht empfohlen</t>
  </si>
  <si>
    <t>Nur mit belastbarer Begründung und geeigneten zusätzlichen Maßnahmen einsetzen.</t>
  </si>
  <si>
    <t>Arbeitsweise</t>
  </si>
  <si>
    <t>Schritt</t>
  </si>
  <si>
    <t>Vorgehen</t>
  </si>
  <si>
    <t>Dokumentation</t>
  </si>
  <si>
    <t>Hinweis</t>
  </si>
  <si>
    <t>Reviewdaten auf dem Blatt „Übersicht“ ausfüllen.</t>
  </si>
  <si>
    <t>Projekt, Dokument, SIL, Teilnehmer und Termin erfassen.</t>
  </si>
  <si>
    <t>Gelbe Zellen sind Eingabefelder.</t>
  </si>
  <si>
    <t>Eingabe- und Ausgabedokumente registrieren.</t>
  </si>
  <si>
    <t>Dokumentkennung, Version, Status, Verantwortlichen und Ablageort eintragen.</t>
  </si>
  <si>
    <t>Die IDs D01 bis D37 sind normnah vorbereitet.</t>
  </si>
  <si>
    <t>Jede Prüffrage auf dem Blatt „Review 7.9“ bewerten.</t>
  </si>
  <si>
    <t>Prüfergebnis konkret formulieren und die zugehörigen Dokument-IDs prüfen.</t>
  </si>
  <si>
    <t>Status / OK über das Auswahlfeld setzen.</t>
  </si>
  <si>
    <t>Abweichungen oder Beschlüsse auf „Maßnahmen“ übernehmen.</t>
  </si>
  <si>
    <t>Prüfpunkt, Verantwortlichen, Fälligkeit und Status eintragen.</t>
  </si>
  <si>
    <t>IDs M-01 bis M-20 sind vorbereitet.</t>
  </si>
  <si>
    <t>Verfahren aus „Anhang A.9“ SIL-bezogen berücksichtigen.</t>
  </si>
  <si>
    <t>Erläuterungen und Normreferenzen als Prüfhilfe verwenden.</t>
  </si>
  <si>
    <t>SIL 4 ist nicht Bestandteil dieser Arbeitsmappe.</t>
  </si>
  <si>
    <t>Gesamtergebnis auf „Übersicht“ festlegen.</t>
  </si>
  <si>
    <t>Ergebnis, Begründung und Zusammenfassung eintragen.</t>
  </si>
  <si>
    <t>Fortschrittskennzahlen werden automatisch berechnet.</t>
  </si>
  <si>
    <t>Teilnehmer auf „Unterschriften“ dokumentieren.</t>
  </si>
  <si>
    <t>Name, Funktion, Datum und Bestätigung eintragen.</t>
  </si>
  <si>
    <t>Kann digital oder nach Ausdruck verwendet werden.</t>
  </si>
  <si>
    <t>Quelle: IEC61508-3_Kap_7.9_Reviewprotokoll_Endfassung_2026-08-05.docx</t>
  </si>
  <si>
    <t>Anhang Formblatt Unterschriften</t>
  </si>
  <si>
    <t>Name, Vorname, Abteilung, Funktion</t>
  </si>
  <si>
    <t>Datum</t>
  </si>
  <si>
    <t>Unterschrift / Bestätigung</t>
  </si>
  <si>
    <t>Freigegeben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</si>
</sst>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font>
      <sz val="11"/>
      <name val="Carlito"/>
    </font>
    <font>
      <sz val="10"/>
      <color rgb="FF222222"/>
      <name val="Aptos"/>
    </font>
    <font>
      <b/>
      <sz val="18"/>
      <color rgb="FFFFFFFF"/>
      <name val="Aptos Display"/>
    </font>
    <font>
      <i/>
      <sz val="10"/>
      <color rgb="FF17365D"/>
      <name val="Aptos"/>
    </font>
    <font>
      <b/>
      <sz val="11"/>
      <color rgb="FFFFFFFF"/>
      <name val="Aptos"/>
    </font>
    <font>
      <b/>
      <sz val="10"/>
      <color rgb="FF17365D"/>
      <name val="Aptos"/>
    </font>
    <font>
      <b/>
      <sz val="10"/>
      <color rgb="FFFFFFFF"/>
      <name val="Aptos"/>
    </font>
    <font>
      <b/>
      <sz val="14"/>
      <color rgb="FF17365D"/>
      <name val="Aptos"/>
    </font>
    <font>
      <b/>
      <sz val="11"/>
      <color rgb="FF17365D"/>
      <name val="Aptos"/>
    </font>
    <font>
      <b/>
      <sz val="12"/>
      <color rgb="FF17365D"/>
      <name val="Aptos"/>
    </font>
    <font>
      <i/>
      <sz val="9"/>
      <color rgb="FF595959"/>
      <name val="Aptos"/>
    </font>
    <font>
      <sz val="11"/>
      <name val="Carlito"/>
    </font>
  </fonts>
  <fills count="10">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EAF3F8"/>
      </patternFill>
    </fill>
    <fill>
      <patternFill patternType="solid">
        <fgColor rgb="FFFFF2CC"/>
      </patternFill>
    </fill>
    <fill>
      <patternFill patternType="solid">
        <fgColor rgb="FF5B9BD5"/>
      </patternFill>
    </fill>
    <fill>
      <patternFill patternType="solid">
        <fgColor rgb="FFFFFFFF"/>
      </patternFill>
    </fill>
    <fill>
      <patternFill patternType="solid">
        <fgColor rgb="FFE7E6E6"/>
      </patternFill>
    </fill>
  </fills>
  <borders count="3">
    <border>
      <left/>
      <right/>
      <top/>
      <bottom/>
      <diagonal/>
    </border>
    <border>
      <left style="thin">
        <color rgb="FFB4C6D7"/>
      </left>
      <right style="thin">
        <color rgb="FFB4C6D7"/>
      </right>
      <top style="thin">
        <color rgb="FFB4C6D7"/>
      </top>
      <bottom style="thin">
        <color rgb="FFB4C6D7"/>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11" fillId="0" borderId="0"/>
  </cellStyleXfs>
  <cellXfs count="26">
    <xf numFmtId="0" fontId="0" fillId="0" borderId="0" xfId="0"/>
    <xf numFmtId="0" fontId="1" fillId="0" borderId="0" xfId="1" applyFont="1" applyAlignment="1">
      <alignment vertical="top"/>
    </xf>
    <xf numFmtId="0" fontId="5" fillId="5" borderId="1" xfId="1" applyFont="1" applyFill="1" applyBorder="1" applyAlignment="1">
      <alignment vertical="center"/>
    </xf>
    <xf numFmtId="0" fontId="1" fillId="6" borderId="1" xfId="1" applyFont="1" applyFill="1" applyBorder="1" applyAlignment="1">
      <alignment vertical="top" wrapText="1"/>
    </xf>
    <xf numFmtId="164" fontId="1" fillId="6" borderId="1" xfId="1" applyNumberFormat="1" applyFont="1" applyFill="1" applyBorder="1" applyAlignment="1">
      <alignment vertical="top" wrapText="1"/>
    </xf>
    <xf numFmtId="0" fontId="6" fillId="7" borderId="2" xfId="1" applyFont="1" applyFill="1" applyBorder="1" applyAlignment="1">
      <alignment horizontal="center" vertical="center"/>
    </xf>
    <xf numFmtId="0" fontId="7" fillId="5" borderId="1" xfId="1" applyFont="1" applyFill="1" applyBorder="1" applyAlignment="1">
      <alignment horizontal="center" vertical="center"/>
    </xf>
    <xf numFmtId="9" fontId="7" fillId="5" borderId="1" xfId="1" applyNumberFormat="1" applyFont="1" applyFill="1" applyBorder="1" applyAlignment="1">
      <alignment horizontal="center" vertical="center"/>
    </xf>
    <xf numFmtId="0" fontId="4" fillId="4" borderId="2" xfId="1" applyFont="1" applyFill="1" applyBorder="1" applyAlignment="1">
      <alignment vertical="center"/>
    </xf>
    <xf numFmtId="0" fontId="1" fillId="0" borderId="0" xfId="1" applyFont="1" applyAlignment="1">
      <alignment vertical="top" wrapText="1"/>
    </xf>
    <xf numFmtId="0" fontId="1" fillId="0" borderId="1" xfId="1" applyFont="1" applyBorder="1" applyAlignment="1">
      <alignment vertical="top" wrapText="1"/>
    </xf>
    <xf numFmtId="0" fontId="1" fillId="8" borderId="1" xfId="1" applyFont="1" applyFill="1" applyBorder="1" applyAlignment="1">
      <alignment vertical="top" wrapText="1"/>
    </xf>
    <xf numFmtId="0" fontId="1" fillId="5" borderId="1" xfId="1" applyFont="1" applyFill="1" applyBorder="1" applyAlignment="1">
      <alignment vertical="top" wrapText="1"/>
    </xf>
    <xf numFmtId="0" fontId="1" fillId="8" borderId="1" xfId="1" applyFont="1" applyFill="1" applyBorder="1" applyAlignment="1">
      <alignment horizontal="center" vertical="top" wrapText="1"/>
    </xf>
    <xf numFmtId="0" fontId="1" fillId="6" borderId="1" xfId="1" applyFont="1" applyFill="1" applyBorder="1" applyAlignment="1">
      <alignment horizontal="center" vertical="top" wrapText="1"/>
    </xf>
    <xf numFmtId="0" fontId="8" fillId="5" borderId="1" xfId="1" applyFont="1" applyFill="1" applyBorder="1" applyAlignment="1">
      <alignment horizontal="center" vertical="center"/>
    </xf>
    <xf numFmtId="0" fontId="1" fillId="8" borderId="1" xfId="1" applyFont="1" applyFill="1" applyBorder="1" applyAlignment="1">
      <alignment horizontal="left" vertical="top" wrapText="1"/>
    </xf>
    <xf numFmtId="0" fontId="9" fillId="0" borderId="0" xfId="1" applyFont="1" applyAlignment="1">
      <alignment horizontal="center" vertical="top" wrapText="1"/>
    </xf>
    <xf numFmtId="0" fontId="2" fillId="2" borderId="0" xfId="1" applyFont="1" applyFill="1" applyAlignment="1">
      <alignment horizontal="left" vertical="center"/>
    </xf>
    <xf numFmtId="0" fontId="3" fillId="3" borderId="0" xfId="1" applyFont="1" applyFill="1" applyAlignment="1">
      <alignment vertical="center" wrapText="1"/>
    </xf>
    <xf numFmtId="0" fontId="3" fillId="3" borderId="0" xfId="1" applyFont="1" applyFill="1" applyAlignment="1">
      <alignment vertical="center"/>
    </xf>
    <xf numFmtId="0" fontId="4" fillId="4" borderId="0" xfId="1" applyFont="1" applyFill="1" applyAlignment="1">
      <alignment vertical="center"/>
    </xf>
    <xf numFmtId="0" fontId="1" fillId="6" borderId="1" xfId="1" applyFont="1" applyFill="1" applyBorder="1" applyAlignment="1">
      <alignment vertical="top" wrapText="1"/>
    </xf>
    <xf numFmtId="164" fontId="1" fillId="6" borderId="1" xfId="1" applyNumberFormat="1" applyFont="1" applyFill="1" applyBorder="1" applyAlignment="1">
      <alignment vertical="top" wrapText="1"/>
    </xf>
    <xf numFmtId="0" fontId="3" fillId="3" borderId="0" xfId="1" applyFont="1" applyFill="1" applyAlignment="1">
      <alignment vertical="top"/>
    </xf>
    <xf numFmtId="0" fontId="10" fillId="9" borderId="0" xfId="1" applyFont="1" applyFill="1" applyAlignment="1">
      <alignment vertical="top"/>
    </xf>
  </cellXfs>
  <cellStyles count="2">
    <cellStyle name="Normal" xfId="1" xr:uid="{00000000-0005-0000-0000-000000000000}"/>
    <cellStyle name="Standard" xfId="0" builtinId="0"/>
  </cellStyles>
  <dxfs count="12">
    <dxf>
      <font>
        <color rgb="FF9C0006"/>
      </font>
      <fill>
        <patternFill patternType="solid">
          <bgColor rgb="FFF4CCCC"/>
        </patternFill>
      </fill>
    </dxf>
    <dxf>
      <font>
        <b/>
        <color rgb="FF215E21"/>
      </font>
      <fill>
        <patternFill patternType="solid">
          <bgColor rgb="FFC6E0B4"/>
        </patternFill>
      </fill>
    </dxf>
    <dxf>
      <font>
        <color rgb="FF9C0006"/>
      </font>
      <fill>
        <patternFill patternType="solid">
          <bgColor rgb="FFF4CCCC"/>
        </patternFill>
      </fill>
    </dxf>
    <dxf>
      <font>
        <b/>
        <color rgb="FF215E21"/>
      </font>
      <fill>
        <patternFill patternType="solid">
          <bgColor rgb="FFC6E0B4"/>
        </patternFill>
      </fill>
    </dxf>
    <dxf>
      <font>
        <b/>
        <color rgb="FF17365D"/>
      </font>
      <fill>
        <patternFill patternType="solid">
          <bgColor rgb="FFD9EAF7"/>
        </patternFill>
      </fill>
    </dxf>
    <dxf>
      <font>
        <b/>
        <color rgb="FF5F497A"/>
      </font>
      <fill>
        <patternFill patternType="solid">
          <bgColor rgb="FFE4DFEC"/>
        </patternFill>
      </fill>
    </dxf>
    <dxf>
      <font>
        <b/>
        <color rgb="FF215E21"/>
      </font>
      <fill>
        <patternFill patternType="solid">
          <bgColor rgb="FFC6E0B4"/>
        </patternFill>
      </fill>
    </dxf>
    <dxf>
      <font>
        <b/>
        <color rgb="FF17365D"/>
      </font>
      <fill>
        <patternFill patternType="solid">
          <bgColor rgb="FFD9EAF7"/>
        </patternFill>
      </fill>
    </dxf>
    <dxf>
      <font>
        <color rgb="FF17365D"/>
      </font>
      <fill>
        <patternFill patternType="solid">
          <bgColor rgb="FFD9EAF7"/>
        </patternFill>
      </fill>
    </dxf>
    <dxf>
      <font>
        <color rgb="FF595959"/>
      </font>
      <fill>
        <patternFill patternType="solid">
          <bgColor rgb="FFE7E6E6"/>
        </patternFill>
      </fill>
    </dxf>
    <dxf>
      <font>
        <b/>
        <color rgb="FF9C0006"/>
      </font>
      <fill>
        <patternFill patternType="solid">
          <bgColor rgb="FFF4CCCC"/>
        </patternFill>
      </fill>
    </dxf>
    <dxf>
      <font>
        <b/>
        <color rgb="FF215E21"/>
      </font>
      <fill>
        <patternFill patternType="solid">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punkte_7_9" displayName="Reviewpunkte_7_9" ref="A7:G22" totalsRowShown="0">
  <autoFilter ref="A7:G22" xr:uid="{00000000-0009-0000-0100-000001000000}"/>
  <tableColumns count="7">
    <tableColumn id="1" xr3:uid="{00000000-0010-0000-0000-000001000000}" name="Nr."/>
    <tableColumn id="2" xr3:uid="{00000000-0010-0000-0000-000002000000}" name="Normkapitel"/>
    <tableColumn id="3" xr3:uid="{00000000-0010-0000-0000-000003000000}" name="Prüffrage"/>
    <tableColumn id="4" xr3:uid="{00000000-0010-0000-0000-000004000000}" name="Prüfergebnis"/>
    <tableColumn id="5" xr3:uid="{00000000-0010-0000-0000-000005000000}" name="Kommentar / Nachweis"/>
    <tableColumn id="6" xr3:uid="{00000000-0010-0000-0000-000006000000}" name="E/A-Dokumente (IDs)"/>
    <tableColumn id="7" xr3:uid="{00000000-0010-0000-0000-000007000000}" name="Status / O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okumentenregister_7_9" displayName="Dokumentenregister_7_9" ref="A7:K44" totalsRowShown="0">
  <autoFilter ref="A7:K44" xr:uid="{00000000-0009-0000-0100-000002000000}"/>
  <tableColumns count="11">
    <tableColumn id="1" xr3:uid="{00000000-0010-0000-0100-000001000000}" name="ID"/>
    <tableColumn id="2" xr3:uid="{00000000-0010-0000-0100-000002000000}" name="Art"/>
    <tableColumn id="3" xr3:uid="{00000000-0010-0000-0100-000003000000}" name="Normbegriff / Dokument"/>
    <tableColumn id="4" xr3:uid="{00000000-0010-0000-0100-000004000000}" name="Funktion / erwarteter Inhalt"/>
    <tableColumn id="5" xr3:uid="{00000000-0010-0000-0100-000005000000}" name="Bezug Prüfpunkt"/>
    <tableColumn id="6" xr3:uid="{00000000-0010-0000-0100-000006000000}" name="Normreferenz"/>
    <tableColumn id="7" xr3:uid="{00000000-0010-0000-0100-000007000000}" name="Dokumentkennung / Referenz"/>
    <tableColumn id="8" xr3:uid="{00000000-0010-0000-0100-000008000000}" name="Version / Index"/>
    <tableColumn id="9" xr3:uid="{00000000-0010-0000-0100-000009000000}" name="Status"/>
    <tableColumn id="10" xr3:uid="{00000000-0010-0000-0100-00000A000000}" name="Verantwortlich"/>
    <tableColumn id="11" xr3:uid="{00000000-0010-0000-0100-00000B000000}" name="Ablageort / Lin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viewMassnahmen" displayName="ReviewMassnahmen" ref="A5:G25" totalsRowShown="0">
  <autoFilter ref="A5:G25" xr:uid="{00000000-0009-0000-0100-000003000000}"/>
  <tableColumns count="7">
    <tableColumn id="1" xr3:uid="{00000000-0010-0000-0200-000001000000}" name="ID"/>
    <tableColumn id="2" xr3:uid="{00000000-0010-0000-0200-000002000000}" name="Typ"/>
    <tableColumn id="3" xr3:uid="{00000000-0010-0000-0200-000003000000}" name="Review-Ergebnis / Maßnahme"/>
    <tableColumn id="4" xr3:uid="{00000000-0010-0000-0200-000004000000}" name="Bezug Prüfpunkt"/>
    <tableColumn id="5" xr3:uid="{00000000-0010-0000-0200-000005000000}" name="Verantwortlich"/>
    <tableColumn id="6" xr3:uid="{00000000-0010-0000-0200-000006000000}" name="Fällig am"/>
    <tableColumn id="7" xr3:uid="{00000000-0010-0000-0200-000007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nhang_A9" displayName="Anhang_A9" ref="A5:H15" totalsRowShown="0">
  <autoFilter ref="A5:H15" xr:uid="{00000000-0009-0000-0100-000004000000}"/>
  <tableColumns count="8">
    <tableColumn id="1" xr3:uid="{00000000-0010-0000-0300-000001000000}" name="Nr."/>
    <tableColumn id="2" xr3:uid="{00000000-0010-0000-0300-000002000000}" name="Verfahren / Maßnahme"/>
    <tableColumn id="3" xr3:uid="{00000000-0010-0000-0300-000003000000}" name="Siehe"/>
    <tableColumn id="4" xr3:uid="{00000000-0010-0000-0300-000004000000}" name="SIL 1"/>
    <tableColumn id="5" xr3:uid="{00000000-0010-0000-0300-000005000000}" name="SIL 2"/>
    <tableColumn id="6" xr3:uid="{00000000-0010-0000-0300-000006000000}" name="SIL 3"/>
    <tableColumn id="7" xr3:uid="{00000000-0010-0000-0300-000007000000}" name="Erläuterung"/>
    <tableColumn id="8" xr3:uid="{00000000-0010-0000-0300-000008000000}" name="Normreferenz"/>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mpfehlungslegende" displayName="Empfehlungslegende" ref="A5:D9" totalsRowShown="0">
  <tableColumns count="4">
    <tableColumn id="1" xr3:uid="{00000000-0010-0000-0400-000001000000}" name="Kennzeichen"/>
    <tableColumn id="2" xr3:uid="{00000000-0010-0000-0400-000002000000}" name="Bedeutung"/>
    <tableColumn id="3" xr3:uid="{00000000-0010-0000-0400-000003000000}" name="Anwendung im Review"/>
    <tableColumn id="4" xr3:uid="{00000000-0010-0000-0400-000004000000}" name="Geltungsbereich"/>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rbeitsweise" displayName="Arbeitsweise" ref="A12:D19" totalsRowShown="0">
  <tableColumns count="4">
    <tableColumn id="1" xr3:uid="{00000000-0010-0000-0500-000001000000}" name="Schritt"/>
    <tableColumn id="2" xr3:uid="{00000000-0010-0000-0500-000002000000}" name="Vorgehen"/>
    <tableColumn id="3" xr3:uid="{00000000-0010-0000-0500-000003000000}" name="Dokumentation"/>
    <tableColumn id="4" xr3:uid="{00000000-0010-0000-0500-000004000000}" name="Hinwei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viewUnterschriften" displayName="ReviewUnterschriften" ref="A4:C11" totalsRowShown="0">
  <tableColumns count="3">
    <tableColumn id="1" xr3:uid="{00000000-0010-0000-0600-000001000000}" name="Name, Vorname, Abteilung, Funktion"/>
    <tableColumn id="2" xr3:uid="{00000000-0010-0000-0600-000002000000}" name="Datum"/>
    <tableColumn id="3" xr3:uid="{00000000-0010-0000-0600-000003000000}" name="Unterschrift / Bestätigu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showGridLines="0" topLeftCell="A2" workbookViewId="0">
      <selection sqref="A1:H2"/>
    </sheetView>
  </sheetViews>
  <sheetFormatPr baseColWidth="10" defaultColWidth="9" defaultRowHeight="14.25"/>
  <cols>
    <col min="1" max="1" width="22" customWidth="1"/>
    <col min="2" max="4" width="14" customWidth="1"/>
    <col min="5" max="5" width="19" customWidth="1"/>
    <col min="6" max="8" width="14" customWidth="1"/>
  </cols>
  <sheetData>
    <row r="1" spans="1:8" ht="33.950000000000003" customHeight="1">
      <c r="A1" s="18" t="s">
        <v>0</v>
      </c>
      <c r="B1" s="18" t="s">
        <v>0</v>
      </c>
      <c r="C1" s="18" t="s">
        <v>0</v>
      </c>
      <c r="D1" s="18" t="s">
        <v>0</v>
      </c>
      <c r="E1" s="18" t="s">
        <v>0</v>
      </c>
      <c r="F1" s="18" t="s">
        <v>0</v>
      </c>
      <c r="G1" s="18" t="s">
        <v>0</v>
      </c>
      <c r="H1" s="18" t="s">
        <v>0</v>
      </c>
    </row>
    <row r="2" spans="1:8" ht="33.950000000000003" customHeight="1">
      <c r="A2" s="18" t="s">
        <v>0</v>
      </c>
      <c r="B2" s="18" t="s">
        <v>0</v>
      </c>
      <c r="C2" s="18" t="s">
        <v>0</v>
      </c>
      <c r="D2" s="18" t="s">
        <v>0</v>
      </c>
      <c r="E2" s="18" t="s">
        <v>0</v>
      </c>
      <c r="F2" s="18" t="s">
        <v>0</v>
      </c>
      <c r="G2" s="18" t="s">
        <v>0</v>
      </c>
      <c r="H2" s="18" t="s">
        <v>0</v>
      </c>
    </row>
    <row r="3" spans="1:8">
      <c r="A3" s="20" t="s">
        <v>1</v>
      </c>
      <c r="B3" s="20"/>
      <c r="C3" s="20"/>
      <c r="D3" s="20"/>
      <c r="E3" s="20"/>
      <c r="F3" s="20"/>
      <c r="G3" s="20"/>
      <c r="H3" s="20"/>
    </row>
    <row r="4" spans="1:8">
      <c r="A4" s="1"/>
      <c r="B4" s="1"/>
      <c r="C4" s="1"/>
      <c r="D4" s="1"/>
      <c r="E4" s="1"/>
      <c r="F4" s="1"/>
      <c r="G4" s="1"/>
      <c r="H4" s="1"/>
    </row>
    <row r="5" spans="1:8" ht="24" customHeight="1">
      <c r="A5" s="21" t="s">
        <v>2</v>
      </c>
      <c r="B5" s="21" t="s">
        <v>2</v>
      </c>
      <c r="C5" s="21" t="s">
        <v>2</v>
      </c>
      <c r="D5" s="21" t="s">
        <v>2</v>
      </c>
      <c r="E5" s="21" t="s">
        <v>2</v>
      </c>
      <c r="F5" s="21" t="s">
        <v>2</v>
      </c>
      <c r="G5" s="21" t="s">
        <v>2</v>
      </c>
      <c r="H5" s="21" t="s">
        <v>2</v>
      </c>
    </row>
    <row r="6" spans="1:8">
      <c r="A6" s="2" t="s">
        <v>3</v>
      </c>
      <c r="B6" s="22"/>
      <c r="C6" s="22"/>
      <c r="D6" s="22"/>
      <c r="E6" s="2" t="s">
        <v>4</v>
      </c>
      <c r="F6" s="22"/>
      <c r="G6" s="22"/>
      <c r="H6" s="22"/>
    </row>
    <row r="7" spans="1:8">
      <c r="A7" s="2" t="s">
        <v>5</v>
      </c>
      <c r="B7" s="22"/>
      <c r="C7" s="22"/>
      <c r="D7" s="22"/>
      <c r="E7" s="2" t="s">
        <v>6</v>
      </c>
      <c r="F7" s="22"/>
      <c r="G7" s="22"/>
      <c r="H7" s="22"/>
    </row>
    <row r="8" spans="1:8">
      <c r="A8" s="2" t="s">
        <v>7</v>
      </c>
      <c r="B8" s="22"/>
      <c r="C8" s="22"/>
      <c r="D8" s="22"/>
      <c r="E8" s="2" t="s">
        <v>8</v>
      </c>
      <c r="F8" s="22" t="s">
        <v>9</v>
      </c>
      <c r="G8" s="22" t="s">
        <v>9</v>
      </c>
      <c r="H8" s="22" t="s">
        <v>9</v>
      </c>
    </row>
    <row r="9" spans="1:8">
      <c r="A9" s="2" t="s">
        <v>10</v>
      </c>
      <c r="B9" s="22"/>
      <c r="C9" s="22"/>
      <c r="D9" s="22"/>
      <c r="E9" s="2" t="s">
        <v>11</v>
      </c>
      <c r="F9" s="23"/>
      <c r="G9" s="23"/>
      <c r="H9" s="23"/>
    </row>
    <row r="10" spans="1:8">
      <c r="A10" s="2" t="s">
        <v>12</v>
      </c>
      <c r="B10" s="22"/>
      <c r="C10" s="22"/>
      <c r="D10" s="22"/>
      <c r="E10" s="2" t="s">
        <v>13</v>
      </c>
      <c r="F10" s="22"/>
      <c r="G10" s="22"/>
      <c r="H10" s="22"/>
    </row>
    <row r="11" spans="1:8">
      <c r="A11" s="1"/>
      <c r="B11" s="1"/>
      <c r="C11" s="1"/>
      <c r="D11" s="1"/>
      <c r="E11" s="1"/>
      <c r="F11" s="1"/>
      <c r="G11" s="1"/>
      <c r="H11" s="1"/>
    </row>
    <row r="12" spans="1:8" ht="24" customHeight="1">
      <c r="A12" s="21" t="s">
        <v>14</v>
      </c>
      <c r="B12" s="21" t="s">
        <v>14</v>
      </c>
      <c r="C12" s="21" t="s">
        <v>14</v>
      </c>
      <c r="D12" s="21" t="s">
        <v>14</v>
      </c>
      <c r="E12" s="21" t="s">
        <v>14</v>
      </c>
      <c r="F12" s="21" t="s">
        <v>14</v>
      </c>
      <c r="G12" s="21" t="s">
        <v>14</v>
      </c>
      <c r="H12" s="21" t="s">
        <v>14</v>
      </c>
    </row>
    <row r="13" spans="1:8">
      <c r="A13" s="2" t="s">
        <v>15</v>
      </c>
      <c r="B13" s="22"/>
      <c r="C13" s="22"/>
      <c r="D13" s="22"/>
      <c r="E13" s="22"/>
      <c r="F13" s="22"/>
      <c r="G13" s="22"/>
      <c r="H13" s="22"/>
    </row>
    <row r="14" spans="1:8">
      <c r="A14" s="2" t="s">
        <v>16</v>
      </c>
      <c r="B14" s="22"/>
      <c r="C14" s="22"/>
      <c r="D14" s="22"/>
      <c r="E14" s="22"/>
      <c r="F14" s="22"/>
      <c r="G14" s="22"/>
      <c r="H14" s="22"/>
    </row>
    <row r="15" spans="1:8">
      <c r="A15" s="2" t="s">
        <v>17</v>
      </c>
      <c r="B15" s="22"/>
      <c r="C15" s="22"/>
      <c r="D15" s="22"/>
      <c r="E15" s="22"/>
      <c r="F15" s="22"/>
      <c r="G15" s="22"/>
      <c r="H15" s="22"/>
    </row>
    <row r="16" spans="1:8">
      <c r="A16" s="2" t="s">
        <v>18</v>
      </c>
      <c r="B16" s="22"/>
      <c r="C16" s="22"/>
      <c r="D16" s="22"/>
      <c r="E16" s="22"/>
      <c r="F16" s="22"/>
      <c r="G16" s="22"/>
      <c r="H16" s="22"/>
    </row>
    <row r="17" spans="1:8">
      <c r="A17" s="1"/>
      <c r="B17" s="1"/>
      <c r="C17" s="1"/>
      <c r="D17" s="1"/>
      <c r="E17" s="1"/>
      <c r="F17" s="1"/>
      <c r="G17" s="1"/>
      <c r="H17" s="1"/>
    </row>
    <row r="18" spans="1:8" ht="24" customHeight="1">
      <c r="A18" s="21" t="s">
        <v>19</v>
      </c>
      <c r="B18" s="21" t="s">
        <v>19</v>
      </c>
      <c r="C18" s="21" t="s">
        <v>19</v>
      </c>
      <c r="D18" s="21" t="s">
        <v>19</v>
      </c>
      <c r="E18" s="21" t="s">
        <v>19</v>
      </c>
      <c r="F18" s="21" t="s">
        <v>19</v>
      </c>
      <c r="G18" s="21" t="s">
        <v>19</v>
      </c>
      <c r="H18" s="21" t="s">
        <v>19</v>
      </c>
    </row>
    <row r="19" spans="1:8">
      <c r="A19" s="5" t="s">
        <v>20</v>
      </c>
      <c r="B19" s="5"/>
      <c r="C19" s="5" t="s">
        <v>21</v>
      </c>
      <c r="D19" s="5"/>
      <c r="E19" s="5" t="s">
        <v>22</v>
      </c>
      <c r="F19" s="5"/>
      <c r="G19" s="5" t="s">
        <v>23</v>
      </c>
      <c r="H19" s="5" t="s">
        <v>24</v>
      </c>
    </row>
    <row r="20" spans="1:8" ht="18.75">
      <c r="A20" s="6">
        <f>COUNTA('Review 7.9'!B8:B22)</f>
        <v>15</v>
      </c>
      <c r="B20" s="6"/>
      <c r="C20" s="6">
        <f>COUNTIF('Review 7.9'!G8:G22,"OK")</f>
        <v>0</v>
      </c>
      <c r="D20" s="6"/>
      <c r="E20" s="6">
        <f>COUNTIF('Review 7.9'!G8:G22,"Nicht OK")</f>
        <v>0</v>
      </c>
      <c r="F20" s="6"/>
      <c r="G20" s="6">
        <f>COUNTIF('Review 7.9'!G8:G22,"Nicht geprüft")</f>
        <v>15</v>
      </c>
      <c r="H20" s="7">
        <f>IF(A20=0,0,(C20+COUNTIF('Review 7.9'!G8:G22,"n. a."))/A20)</f>
        <v>0</v>
      </c>
    </row>
    <row r="21" spans="1:8">
      <c r="A21" s="1"/>
      <c r="B21" s="1"/>
      <c r="C21" s="1"/>
      <c r="D21" s="1"/>
      <c r="E21" s="1"/>
      <c r="F21" s="1"/>
      <c r="G21" s="1"/>
      <c r="H21" s="1"/>
    </row>
    <row r="22" spans="1:8">
      <c r="A22" s="2" t="s">
        <v>25</v>
      </c>
      <c r="B22" s="22"/>
      <c r="C22" s="22"/>
      <c r="D22" s="22"/>
      <c r="E22" s="22"/>
      <c r="F22" s="22"/>
      <c r="G22" s="22"/>
      <c r="H22" s="22"/>
    </row>
    <row r="23" spans="1:8" ht="27.95" customHeight="1">
      <c r="A23" s="2" t="s">
        <v>26</v>
      </c>
      <c r="B23" s="22"/>
      <c r="C23" s="22"/>
      <c r="D23" s="22"/>
      <c r="E23" s="22"/>
      <c r="F23" s="22"/>
      <c r="G23" s="22"/>
      <c r="H23" s="22"/>
    </row>
    <row r="24" spans="1:8" ht="27.95" customHeight="1">
      <c r="A24" s="1"/>
      <c r="B24" s="22"/>
      <c r="C24" s="22"/>
      <c r="D24" s="22"/>
      <c r="E24" s="22"/>
      <c r="F24" s="22"/>
      <c r="G24" s="22"/>
      <c r="H24" s="22"/>
    </row>
    <row r="25" spans="1:8" ht="27.95" customHeight="1">
      <c r="A25" s="1"/>
      <c r="B25" s="22"/>
      <c r="C25" s="22"/>
      <c r="D25" s="22"/>
      <c r="E25" s="22"/>
      <c r="F25" s="22"/>
      <c r="G25" s="22"/>
      <c r="H25" s="22"/>
    </row>
    <row r="26" spans="1:8">
      <c r="A26" s="1"/>
      <c r="B26" s="1"/>
      <c r="C26" s="1"/>
      <c r="D26" s="1"/>
      <c r="E26" s="1"/>
      <c r="F26" s="1"/>
      <c r="G26" s="1"/>
      <c r="H26" s="1"/>
    </row>
    <row r="27" spans="1:8" ht="26.1" customHeight="1">
      <c r="A27" s="2" t="s">
        <v>27</v>
      </c>
      <c r="B27" s="22" t="s">
        <v>28</v>
      </c>
      <c r="C27" s="22" t="s">
        <v>28</v>
      </c>
      <c r="D27" s="22" t="s">
        <v>28</v>
      </c>
      <c r="E27" s="22" t="s">
        <v>28</v>
      </c>
      <c r="F27" s="22" t="s">
        <v>28</v>
      </c>
      <c r="G27" s="22" t="s">
        <v>28</v>
      </c>
      <c r="H27" s="22" t="s">
        <v>28</v>
      </c>
    </row>
    <row r="28" spans="1:8" ht="26.1" customHeight="1">
      <c r="A28" s="1"/>
      <c r="B28" s="22" t="s">
        <v>28</v>
      </c>
      <c r="C28" s="22" t="s">
        <v>28</v>
      </c>
      <c r="D28" s="22" t="s">
        <v>28</v>
      </c>
      <c r="E28" s="22" t="s">
        <v>28</v>
      </c>
      <c r="F28" s="22" t="s">
        <v>28</v>
      </c>
      <c r="G28" s="22" t="s">
        <v>28</v>
      </c>
      <c r="H28" s="22" t="s">
        <v>28</v>
      </c>
    </row>
    <row r="29" spans="1:8" ht="26.1" customHeight="1">
      <c r="A29" s="1"/>
      <c r="B29" s="22" t="s">
        <v>28</v>
      </c>
      <c r="C29" s="22" t="s">
        <v>28</v>
      </c>
      <c r="D29" s="22" t="s">
        <v>28</v>
      </c>
      <c r="E29" s="22" t="s">
        <v>28</v>
      </c>
      <c r="F29" s="22" t="s">
        <v>28</v>
      </c>
      <c r="G29" s="22" t="s">
        <v>28</v>
      </c>
      <c r="H29" s="22" t="s">
        <v>28</v>
      </c>
    </row>
    <row r="30" spans="1:8" ht="26.1" customHeight="1">
      <c r="A30" s="1"/>
      <c r="B30" s="22" t="s">
        <v>28</v>
      </c>
      <c r="C30" s="22" t="s">
        <v>28</v>
      </c>
      <c r="D30" s="22" t="s">
        <v>28</v>
      </c>
      <c r="E30" s="22" t="s">
        <v>28</v>
      </c>
      <c r="F30" s="22" t="s">
        <v>28</v>
      </c>
      <c r="G30" s="22" t="s">
        <v>28</v>
      </c>
      <c r="H30" s="22" t="s">
        <v>28</v>
      </c>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sheetData>
  <mergeCells count="22">
    <mergeCell ref="B27:H30"/>
    <mergeCell ref="B15:H15"/>
    <mergeCell ref="B16:H16"/>
    <mergeCell ref="A18:H18"/>
    <mergeCell ref="B22:H22"/>
    <mergeCell ref="B23:H25"/>
    <mergeCell ref="B10:D10"/>
    <mergeCell ref="F10:H10"/>
    <mergeCell ref="A12:H12"/>
    <mergeCell ref="B13:H13"/>
    <mergeCell ref="B14:H14"/>
    <mergeCell ref="B7:D7"/>
    <mergeCell ref="F7:H7"/>
    <mergeCell ref="B8:D8"/>
    <mergeCell ref="F8:H8"/>
    <mergeCell ref="B9:D9"/>
    <mergeCell ref="F9:H9"/>
    <mergeCell ref="A1:H2"/>
    <mergeCell ref="A3:H3"/>
    <mergeCell ref="A5:H5"/>
    <mergeCell ref="B6:D6"/>
    <mergeCell ref="F6:H6"/>
  </mergeCells>
  <dataValidations count="2">
    <dataValidation type="list" sqref="B8:D8" xr:uid="{00000000-0002-0000-0000-000000000000}">
      <formula1>"SIL 1,SIL 2,SIL 3"</formula1>
    </dataValidation>
    <dataValidation type="list" sqref="B22:H22" xr:uid="{00000000-0002-0000-0000-000001000000}">
      <formula1>"Dokument muss überarbeitet werden und kann danach freigegeben werden,Dokument muss überarbeitet werden und danach einem Review unterzogen werden,Dokument kann zum externen Review vorgelegt werden,Dokument kann freigegeben werden"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showGridLines="0" workbookViewId="0">
      <pane ySplit="7" topLeftCell="A16" activePane="bottomLeft" state="frozen"/>
      <selection pane="bottomLeft" activeCell="E8" sqref="E8"/>
    </sheetView>
  </sheetViews>
  <sheetFormatPr baseColWidth="10" defaultColWidth="9" defaultRowHeight="14.25"/>
  <cols>
    <col min="1" max="1" width="8" customWidth="1"/>
    <col min="2" max="2" width="14" customWidth="1"/>
    <col min="3" max="3" width="72" customWidth="1"/>
    <col min="4" max="5" width="34" customWidth="1"/>
    <col min="6" max="6" width="25" customWidth="1"/>
    <col min="7" max="7" width="17" customWidth="1"/>
  </cols>
  <sheetData>
    <row r="1" spans="1:7" ht="33.950000000000003" customHeight="1">
      <c r="A1" s="18" t="s">
        <v>29</v>
      </c>
      <c r="B1" s="18" t="s">
        <v>29</v>
      </c>
      <c r="C1" s="18" t="s">
        <v>29</v>
      </c>
      <c r="D1" s="18" t="s">
        <v>29</v>
      </c>
      <c r="E1" s="18" t="s">
        <v>29</v>
      </c>
      <c r="F1" s="18" t="s">
        <v>29</v>
      </c>
      <c r="G1" s="18" t="s">
        <v>29</v>
      </c>
    </row>
    <row r="2" spans="1:7" ht="33.950000000000003" customHeight="1">
      <c r="A2" s="18" t="s">
        <v>29</v>
      </c>
      <c r="B2" s="18" t="s">
        <v>29</v>
      </c>
      <c r="C2" s="18" t="s">
        <v>29</v>
      </c>
      <c r="D2" s="18" t="s">
        <v>29</v>
      </c>
      <c r="E2" s="18" t="s">
        <v>29</v>
      </c>
      <c r="F2" s="18" t="s">
        <v>29</v>
      </c>
      <c r="G2" s="18" t="s">
        <v>29</v>
      </c>
    </row>
    <row r="3" spans="1:7">
      <c r="A3" s="19" t="s">
        <v>30</v>
      </c>
      <c r="B3" s="19"/>
      <c r="C3" s="19"/>
      <c r="D3" s="19"/>
      <c r="E3" s="19"/>
      <c r="F3" s="19"/>
      <c r="G3" s="19"/>
    </row>
    <row r="4" spans="1:7">
      <c r="A4" s="1"/>
      <c r="B4" s="1"/>
      <c r="C4" s="1"/>
      <c r="D4" s="1"/>
      <c r="E4" s="1"/>
      <c r="F4" s="1"/>
      <c r="G4" s="1"/>
    </row>
    <row r="5" spans="1:7" ht="15">
      <c r="A5" s="8" t="s">
        <v>31</v>
      </c>
      <c r="B5" s="8" t="s">
        <v>32</v>
      </c>
      <c r="C5" s="8" t="s">
        <v>33</v>
      </c>
      <c r="D5" s="8"/>
      <c r="E5" s="8"/>
      <c r="F5" s="8" t="s">
        <v>34</v>
      </c>
      <c r="G5" s="8" t="s">
        <v>35</v>
      </c>
    </row>
    <row r="6" spans="1:7">
      <c r="A6" s="1"/>
      <c r="B6" s="1"/>
      <c r="C6" s="1"/>
      <c r="D6" s="1"/>
      <c r="E6" s="1"/>
      <c r="F6" s="1"/>
      <c r="G6" s="1"/>
    </row>
    <row r="7" spans="1:7">
      <c r="A7" s="10" t="s">
        <v>36</v>
      </c>
      <c r="B7" s="10" t="s">
        <v>37</v>
      </c>
      <c r="C7" s="10" t="s">
        <v>38</v>
      </c>
      <c r="D7" s="10" t="s">
        <v>39</v>
      </c>
      <c r="E7" s="10" t="s">
        <v>40</v>
      </c>
      <c r="F7" s="10" t="s">
        <v>41</v>
      </c>
      <c r="G7" s="10" t="s">
        <v>35</v>
      </c>
    </row>
    <row r="8" spans="1:7" ht="72.95" customHeight="1">
      <c r="A8" s="13" t="s">
        <v>42</v>
      </c>
      <c r="B8" s="13" t="s">
        <v>43</v>
      </c>
      <c r="C8" s="11" t="s">
        <v>44</v>
      </c>
      <c r="D8" s="3"/>
      <c r="E8" s="3"/>
      <c r="F8" s="12" t="s">
        <v>45</v>
      </c>
      <c r="G8" s="14" t="s">
        <v>23</v>
      </c>
    </row>
    <row r="9" spans="1:7" ht="72" customHeight="1">
      <c r="A9" s="13" t="s">
        <v>46</v>
      </c>
      <c r="B9" s="13" t="s">
        <v>47</v>
      </c>
      <c r="C9" s="11" t="s">
        <v>48</v>
      </c>
      <c r="D9" s="3"/>
      <c r="E9" s="3"/>
      <c r="F9" s="12" t="s">
        <v>49</v>
      </c>
      <c r="G9" s="14" t="s">
        <v>23</v>
      </c>
    </row>
    <row r="10" spans="1:7" ht="165.95" customHeight="1">
      <c r="A10" s="13" t="s">
        <v>50</v>
      </c>
      <c r="B10" s="13" t="s">
        <v>51</v>
      </c>
      <c r="C10" s="11" t="s">
        <v>52</v>
      </c>
      <c r="D10" s="3"/>
      <c r="E10" s="3"/>
      <c r="F10" s="12" t="s">
        <v>53</v>
      </c>
      <c r="G10" s="14" t="s">
        <v>23</v>
      </c>
    </row>
    <row r="11" spans="1:7" ht="72" customHeight="1">
      <c r="A11" s="13" t="s">
        <v>54</v>
      </c>
      <c r="B11" s="13" t="s">
        <v>55</v>
      </c>
      <c r="C11" s="11" t="s">
        <v>56</v>
      </c>
      <c r="D11" s="3"/>
      <c r="E11" s="3"/>
      <c r="F11" s="12" t="s">
        <v>45</v>
      </c>
      <c r="G11" s="14" t="s">
        <v>23</v>
      </c>
    </row>
    <row r="12" spans="1:7" ht="72" customHeight="1">
      <c r="A12" s="13" t="s">
        <v>57</v>
      </c>
      <c r="B12" s="13" t="s">
        <v>58</v>
      </c>
      <c r="C12" s="11" t="s">
        <v>59</v>
      </c>
      <c r="D12" s="3"/>
      <c r="E12" s="3"/>
      <c r="F12" s="12" t="s">
        <v>60</v>
      </c>
      <c r="G12" s="14" t="s">
        <v>23</v>
      </c>
    </row>
    <row r="13" spans="1:7" ht="123.95" customHeight="1">
      <c r="A13" s="13" t="s">
        <v>61</v>
      </c>
      <c r="B13" s="13" t="s">
        <v>62</v>
      </c>
      <c r="C13" s="11" t="s">
        <v>63</v>
      </c>
      <c r="D13" s="3"/>
      <c r="E13" s="3"/>
      <c r="F13" s="12" t="s">
        <v>64</v>
      </c>
      <c r="G13" s="14" t="s">
        <v>23</v>
      </c>
    </row>
    <row r="14" spans="1:7" ht="147.94999999999999" customHeight="1">
      <c r="A14" s="13" t="s">
        <v>65</v>
      </c>
      <c r="B14" s="13" t="s">
        <v>66</v>
      </c>
      <c r="C14" s="11" t="s">
        <v>67</v>
      </c>
      <c r="D14" s="3"/>
      <c r="E14" s="3"/>
      <c r="F14" s="12" t="s">
        <v>68</v>
      </c>
      <c r="G14" s="14" t="s">
        <v>23</v>
      </c>
    </row>
    <row r="15" spans="1:7" ht="210" customHeight="1">
      <c r="A15" s="13" t="s">
        <v>69</v>
      </c>
      <c r="B15" s="13" t="s">
        <v>70</v>
      </c>
      <c r="C15" s="11" t="s">
        <v>71</v>
      </c>
      <c r="D15" s="3"/>
      <c r="E15" s="3"/>
      <c r="F15" s="12" t="s">
        <v>72</v>
      </c>
      <c r="G15" s="14" t="s">
        <v>23</v>
      </c>
    </row>
    <row r="16" spans="1:7" ht="147.94999999999999" customHeight="1">
      <c r="A16" s="13" t="s">
        <v>73</v>
      </c>
      <c r="B16" s="13" t="s">
        <v>74</v>
      </c>
      <c r="C16" s="11" t="s">
        <v>75</v>
      </c>
      <c r="D16" s="3"/>
      <c r="E16" s="3"/>
      <c r="F16" s="12" t="s">
        <v>76</v>
      </c>
      <c r="G16" s="14" t="s">
        <v>23</v>
      </c>
    </row>
    <row r="17" spans="1:7" ht="165" customHeight="1">
      <c r="A17" s="13" t="s">
        <v>77</v>
      </c>
      <c r="B17" s="13" t="s">
        <v>78</v>
      </c>
      <c r="C17" s="11" t="s">
        <v>79</v>
      </c>
      <c r="D17" s="3"/>
      <c r="E17" s="3"/>
      <c r="F17" s="12" t="s">
        <v>80</v>
      </c>
      <c r="G17" s="14" t="s">
        <v>23</v>
      </c>
    </row>
    <row r="18" spans="1:7" ht="165" customHeight="1">
      <c r="A18" s="13" t="s">
        <v>81</v>
      </c>
      <c r="B18" s="13" t="s">
        <v>82</v>
      </c>
      <c r="C18" s="11" t="s">
        <v>83</v>
      </c>
      <c r="D18" s="3"/>
      <c r="E18" s="3"/>
      <c r="F18" s="12" t="s">
        <v>84</v>
      </c>
      <c r="G18" s="14" t="s">
        <v>23</v>
      </c>
    </row>
    <row r="19" spans="1:7" ht="156.94999999999999" customHeight="1">
      <c r="A19" s="13" t="s">
        <v>85</v>
      </c>
      <c r="B19" s="13" t="s">
        <v>86</v>
      </c>
      <c r="C19" s="11" t="s">
        <v>87</v>
      </c>
      <c r="D19" s="3"/>
      <c r="E19" s="3"/>
      <c r="F19" s="12" t="s">
        <v>88</v>
      </c>
      <c r="G19" s="14" t="s">
        <v>23</v>
      </c>
    </row>
    <row r="20" spans="1:7" ht="123.95" customHeight="1">
      <c r="A20" s="13" t="s">
        <v>89</v>
      </c>
      <c r="B20" s="13" t="s">
        <v>90</v>
      </c>
      <c r="C20" s="11" t="s">
        <v>91</v>
      </c>
      <c r="D20" s="3"/>
      <c r="E20" s="3"/>
      <c r="F20" s="12" t="s">
        <v>92</v>
      </c>
      <c r="G20" s="14" t="s">
        <v>23</v>
      </c>
    </row>
    <row r="21" spans="1:7" ht="182.1" customHeight="1">
      <c r="A21" s="13" t="s">
        <v>93</v>
      </c>
      <c r="B21" s="13" t="s">
        <v>94</v>
      </c>
      <c r="C21" s="11" t="s">
        <v>95</v>
      </c>
      <c r="D21" s="3"/>
      <c r="E21" s="3"/>
      <c r="F21" s="12" t="s">
        <v>96</v>
      </c>
      <c r="G21" s="14" t="s">
        <v>23</v>
      </c>
    </row>
    <row r="22" spans="1:7" ht="72" customHeight="1">
      <c r="A22" s="13" t="s">
        <v>97</v>
      </c>
      <c r="B22" s="13" t="s">
        <v>98</v>
      </c>
      <c r="C22" s="11" t="s">
        <v>99</v>
      </c>
      <c r="D22" s="3"/>
      <c r="E22" s="3"/>
      <c r="F22" s="12" t="s">
        <v>100</v>
      </c>
      <c r="G22" s="14" t="s">
        <v>23</v>
      </c>
    </row>
    <row r="23" spans="1:7">
      <c r="A23" s="1"/>
      <c r="B23" s="1"/>
      <c r="C23" s="1"/>
      <c r="D23" s="1"/>
      <c r="E23" s="1"/>
      <c r="F23" s="1"/>
      <c r="G23" s="1"/>
    </row>
    <row r="24" spans="1:7">
      <c r="A24" s="1"/>
      <c r="B24" s="1"/>
      <c r="C24" s="1"/>
      <c r="D24" s="1"/>
      <c r="E24" s="1"/>
      <c r="F24" s="1"/>
      <c r="G24" s="1"/>
    </row>
    <row r="25" spans="1:7">
      <c r="A25" s="1"/>
      <c r="B25" s="1"/>
      <c r="C25" s="1"/>
      <c r="D25" s="1"/>
      <c r="E25" s="1"/>
      <c r="F25" s="1"/>
      <c r="G25" s="1"/>
    </row>
  </sheetData>
  <mergeCells count="2">
    <mergeCell ref="A1:G2"/>
    <mergeCell ref="A3:G3"/>
  </mergeCells>
  <conditionalFormatting sqref="G8:G22">
    <cfRule type="expression" dxfId="11" priority="1">
      <formula>G8="OK"</formula>
    </cfRule>
    <cfRule type="expression" dxfId="10" priority="2">
      <formula>G8="Nicht OK"</formula>
    </cfRule>
    <cfRule type="expression" dxfId="9" priority="3">
      <formula>G8="Nicht geprüft"</formula>
    </cfRule>
    <cfRule type="expression" dxfId="8" priority="4">
      <formula>G8="n. a."</formula>
    </cfRule>
  </conditionalFormatting>
  <dataValidations count="1">
    <dataValidation type="list" sqref="G8:G22" xr:uid="{00000000-0002-0000-0100-000000000000}">
      <formula1>"Nicht geprüft,OK,Nicht OK,n. a."</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5"/>
  <sheetViews>
    <sheetView showGridLines="0" workbookViewId="0">
      <pane ySplit="5" topLeftCell="A6" activePane="bottomLeft" state="frozen"/>
      <selection activeCell="C1" sqref="C1"/>
      <selection pane="bottomLeft" activeCell="G10" sqref="G10"/>
    </sheetView>
  </sheetViews>
  <sheetFormatPr baseColWidth="10" defaultColWidth="9" defaultRowHeight="14.25"/>
  <cols>
    <col min="1" max="1" width="9" customWidth="1"/>
    <col min="2" max="2" width="18" customWidth="1"/>
    <col min="3" max="3" width="42" customWidth="1"/>
    <col min="4" max="4" width="52" customWidth="1"/>
    <col min="5" max="5" width="18" customWidth="1"/>
    <col min="6" max="6" width="46" customWidth="1"/>
    <col min="7" max="7" width="28" customWidth="1"/>
    <col min="8" max="8" width="14" customWidth="1"/>
    <col min="9" max="9" width="19" customWidth="1"/>
    <col min="10" max="10" width="22" customWidth="1"/>
    <col min="11" max="11" width="34" customWidth="1"/>
  </cols>
  <sheetData>
    <row r="1" spans="1:11" ht="33.950000000000003" customHeight="1">
      <c r="A1" s="18" t="s">
        <v>101</v>
      </c>
      <c r="B1" s="18" t="s">
        <v>101</v>
      </c>
      <c r="C1" s="18" t="s">
        <v>101</v>
      </c>
      <c r="D1" s="18" t="s">
        <v>101</v>
      </c>
      <c r="E1" s="18" t="s">
        <v>101</v>
      </c>
      <c r="F1" s="18" t="s">
        <v>101</v>
      </c>
      <c r="G1" s="18" t="s">
        <v>101</v>
      </c>
      <c r="H1" s="18" t="s">
        <v>101</v>
      </c>
      <c r="I1" s="18" t="s">
        <v>101</v>
      </c>
      <c r="J1" s="18" t="s">
        <v>101</v>
      </c>
      <c r="K1" s="18" t="s">
        <v>101</v>
      </c>
    </row>
    <row r="2" spans="1:11" ht="33.950000000000003" customHeight="1">
      <c r="A2" s="18" t="s">
        <v>101</v>
      </c>
      <c r="B2" s="18" t="s">
        <v>101</v>
      </c>
      <c r="C2" s="18" t="s">
        <v>101</v>
      </c>
      <c r="D2" s="18" t="s">
        <v>101</v>
      </c>
      <c r="E2" s="18" t="s">
        <v>101</v>
      </c>
      <c r="F2" s="18" t="s">
        <v>101</v>
      </c>
      <c r="G2" s="18" t="s">
        <v>101</v>
      </c>
      <c r="H2" s="18" t="s">
        <v>101</v>
      </c>
      <c r="I2" s="18" t="s">
        <v>101</v>
      </c>
      <c r="J2" s="18" t="s">
        <v>101</v>
      </c>
      <c r="K2" s="18" t="s">
        <v>101</v>
      </c>
    </row>
    <row r="3" spans="1:11">
      <c r="A3" s="19" t="s">
        <v>102</v>
      </c>
      <c r="B3" s="19"/>
      <c r="C3" s="19"/>
      <c r="D3" s="19"/>
      <c r="E3" s="19"/>
      <c r="F3" s="19"/>
      <c r="G3" s="19"/>
      <c r="H3" s="19"/>
      <c r="I3" s="19"/>
      <c r="J3" s="19"/>
      <c r="K3" s="19"/>
    </row>
    <row r="4" spans="1:11">
      <c r="A4" s="1"/>
      <c r="B4" s="1"/>
      <c r="C4" s="1"/>
      <c r="D4" s="1"/>
      <c r="E4" s="1"/>
      <c r="F4" s="1"/>
      <c r="G4" s="1"/>
      <c r="H4" s="1"/>
      <c r="I4" s="1"/>
      <c r="J4" s="1"/>
      <c r="K4" s="1"/>
    </row>
    <row r="5" spans="1:11" ht="15">
      <c r="A5" s="15" t="s">
        <v>103</v>
      </c>
      <c r="B5" s="15">
        <v>37</v>
      </c>
      <c r="C5" s="15" t="s">
        <v>104</v>
      </c>
      <c r="D5" s="15">
        <f>COUNTIF(B8:B44,"Eingabe")+COUNTIF(B8:B44,"Eingabe / Ausgabe")</f>
        <v>21</v>
      </c>
      <c r="E5" s="15" t="s">
        <v>105</v>
      </c>
      <c r="F5" s="15">
        <f>COUNTIF(B8:B44,"Ausgabe")+COUNTIF(B8:B44,"Eingabe / Ausgabe")</f>
        <v>17</v>
      </c>
      <c r="G5" s="15" t="s">
        <v>106</v>
      </c>
      <c r="H5" s="15">
        <f>COUNTIF(I8:I44,"Geprüft")+COUNTIF(I8:I44,"Freigegeben")</f>
        <v>3</v>
      </c>
      <c r="I5" s="15" t="s">
        <v>107</v>
      </c>
      <c r="J5" s="15">
        <f>COUNTIF(I8:I44,"Nicht vorgelegt")</f>
        <v>34</v>
      </c>
      <c r="K5" s="15"/>
    </row>
    <row r="6" spans="1:11">
      <c r="A6" s="1"/>
      <c r="B6" s="1"/>
      <c r="C6" s="1"/>
      <c r="D6" s="1"/>
      <c r="E6" s="1"/>
      <c r="F6" s="1"/>
      <c r="G6" s="1"/>
      <c r="H6" s="1"/>
      <c r="I6" s="1"/>
      <c r="J6" s="1"/>
      <c r="K6" s="1"/>
    </row>
    <row r="7" spans="1:11">
      <c r="A7" s="10" t="s">
        <v>108</v>
      </c>
      <c r="B7" s="10" t="s">
        <v>109</v>
      </c>
      <c r="C7" s="10" t="s">
        <v>110</v>
      </c>
      <c r="D7" s="10" t="s">
        <v>111</v>
      </c>
      <c r="E7" s="10" t="s">
        <v>112</v>
      </c>
      <c r="F7" s="10" t="s">
        <v>113</v>
      </c>
      <c r="G7" s="10" t="s">
        <v>114</v>
      </c>
      <c r="H7" s="10" t="s">
        <v>115</v>
      </c>
      <c r="I7" s="10" t="s">
        <v>116</v>
      </c>
      <c r="J7" s="10" t="s">
        <v>117</v>
      </c>
      <c r="K7" s="10" t="s">
        <v>118</v>
      </c>
    </row>
    <row r="8" spans="1:11" ht="56.1" customHeight="1">
      <c r="A8" s="13" t="s">
        <v>49</v>
      </c>
      <c r="B8" s="13" t="s">
        <v>119</v>
      </c>
      <c r="C8" s="11" t="s">
        <v>120</v>
      </c>
      <c r="D8" s="11" t="s">
        <v>121</v>
      </c>
      <c r="E8" s="13" t="s">
        <v>122</v>
      </c>
      <c r="F8" s="11" t="s">
        <v>123</v>
      </c>
      <c r="G8" s="3"/>
      <c r="H8" s="14"/>
      <c r="I8" s="14" t="s">
        <v>409</v>
      </c>
      <c r="J8" s="3"/>
      <c r="K8" s="3"/>
    </row>
    <row r="9" spans="1:11" ht="56.1" customHeight="1">
      <c r="A9" s="13" t="s">
        <v>124</v>
      </c>
      <c r="B9" s="13" t="s">
        <v>125</v>
      </c>
      <c r="C9" s="11" t="s">
        <v>126</v>
      </c>
      <c r="D9" s="11" t="s">
        <v>127</v>
      </c>
      <c r="E9" s="13" t="s">
        <v>128</v>
      </c>
      <c r="F9" s="11" t="s">
        <v>129</v>
      </c>
      <c r="G9" s="3"/>
      <c r="H9" s="14"/>
      <c r="I9" s="14" t="s">
        <v>409</v>
      </c>
      <c r="J9" s="3"/>
      <c r="K9" s="3"/>
    </row>
    <row r="10" spans="1:11" ht="56.1" customHeight="1">
      <c r="A10" s="13" t="s">
        <v>130</v>
      </c>
      <c r="B10" s="13" t="s">
        <v>125</v>
      </c>
      <c r="C10" s="11" t="s">
        <v>131</v>
      </c>
      <c r="D10" s="11" t="s">
        <v>132</v>
      </c>
      <c r="E10" s="13" t="s">
        <v>73</v>
      </c>
      <c r="F10" s="11" t="s">
        <v>133</v>
      </c>
      <c r="G10" s="3"/>
      <c r="H10" s="14"/>
      <c r="I10" s="14" t="s">
        <v>409</v>
      </c>
      <c r="J10" s="3"/>
      <c r="K10" s="3"/>
    </row>
    <row r="11" spans="1:11" ht="56.1" customHeight="1">
      <c r="A11" s="13" t="s">
        <v>134</v>
      </c>
      <c r="B11" s="13" t="s">
        <v>125</v>
      </c>
      <c r="C11" s="11" t="s">
        <v>135</v>
      </c>
      <c r="D11" s="11" t="s">
        <v>136</v>
      </c>
      <c r="E11" s="13" t="s">
        <v>137</v>
      </c>
      <c r="F11" s="11" t="s">
        <v>138</v>
      </c>
      <c r="G11" s="3"/>
      <c r="H11" s="14"/>
      <c r="I11" s="14" t="s">
        <v>107</v>
      </c>
      <c r="J11" s="3"/>
      <c r="K11" s="3"/>
    </row>
    <row r="12" spans="1:11" ht="56.1" customHeight="1">
      <c r="A12" s="13" t="s">
        <v>139</v>
      </c>
      <c r="B12" s="13" t="s">
        <v>125</v>
      </c>
      <c r="C12" s="11" t="s">
        <v>140</v>
      </c>
      <c r="D12" s="11" t="s">
        <v>141</v>
      </c>
      <c r="E12" s="13" t="s">
        <v>142</v>
      </c>
      <c r="F12" s="11" t="s">
        <v>143</v>
      </c>
      <c r="G12" s="3"/>
      <c r="H12" s="14"/>
      <c r="I12" s="14" t="s">
        <v>107</v>
      </c>
      <c r="J12" s="3"/>
      <c r="K12" s="3"/>
    </row>
    <row r="13" spans="1:11" ht="56.1" customHeight="1">
      <c r="A13" s="13" t="s">
        <v>144</v>
      </c>
      <c r="B13" s="13" t="s">
        <v>125</v>
      </c>
      <c r="C13" s="11" t="s">
        <v>145</v>
      </c>
      <c r="D13" s="11" t="s">
        <v>146</v>
      </c>
      <c r="E13" s="13" t="s">
        <v>77</v>
      </c>
      <c r="F13" s="11" t="s">
        <v>147</v>
      </c>
      <c r="G13" s="3"/>
      <c r="H13" s="14"/>
      <c r="I13" s="14" t="s">
        <v>107</v>
      </c>
      <c r="J13" s="3"/>
      <c r="K13" s="3"/>
    </row>
    <row r="14" spans="1:11" ht="56.1" customHeight="1">
      <c r="A14" s="13" t="s">
        <v>148</v>
      </c>
      <c r="B14" s="13" t="s">
        <v>125</v>
      </c>
      <c r="C14" s="11" t="s">
        <v>149</v>
      </c>
      <c r="D14" s="11" t="s">
        <v>150</v>
      </c>
      <c r="E14" s="13" t="s">
        <v>151</v>
      </c>
      <c r="F14" s="11" t="s">
        <v>152</v>
      </c>
      <c r="G14" s="3"/>
      <c r="H14" s="14"/>
      <c r="I14" s="14" t="s">
        <v>107</v>
      </c>
      <c r="J14" s="3"/>
      <c r="K14" s="3"/>
    </row>
    <row r="15" spans="1:11" ht="56.1" customHeight="1">
      <c r="A15" s="13" t="s">
        <v>153</v>
      </c>
      <c r="B15" s="13" t="s">
        <v>125</v>
      </c>
      <c r="C15" s="11" t="s">
        <v>154</v>
      </c>
      <c r="D15" s="11" t="s">
        <v>155</v>
      </c>
      <c r="E15" s="13" t="s">
        <v>81</v>
      </c>
      <c r="F15" s="11" t="s">
        <v>156</v>
      </c>
      <c r="G15" s="3"/>
      <c r="H15" s="14"/>
      <c r="I15" s="14" t="s">
        <v>107</v>
      </c>
      <c r="J15" s="3"/>
      <c r="K15" s="3"/>
    </row>
    <row r="16" spans="1:11" ht="56.1" customHeight="1">
      <c r="A16" s="13" t="s">
        <v>157</v>
      </c>
      <c r="B16" s="13" t="s">
        <v>125</v>
      </c>
      <c r="C16" s="11" t="s">
        <v>158</v>
      </c>
      <c r="D16" s="11" t="s">
        <v>159</v>
      </c>
      <c r="E16" s="13" t="s">
        <v>160</v>
      </c>
      <c r="F16" s="11" t="s">
        <v>161</v>
      </c>
      <c r="G16" s="3"/>
      <c r="H16" s="14"/>
      <c r="I16" s="14" t="s">
        <v>107</v>
      </c>
      <c r="J16" s="3"/>
      <c r="K16" s="3"/>
    </row>
    <row r="17" spans="1:11" ht="56.1" customHeight="1">
      <c r="A17" s="13" t="s">
        <v>162</v>
      </c>
      <c r="B17" s="13" t="s">
        <v>125</v>
      </c>
      <c r="C17" s="11" t="s">
        <v>163</v>
      </c>
      <c r="D17" s="11" t="s">
        <v>164</v>
      </c>
      <c r="E17" s="13" t="s">
        <v>85</v>
      </c>
      <c r="F17" s="11" t="s">
        <v>165</v>
      </c>
      <c r="G17" s="3"/>
      <c r="H17" s="14"/>
      <c r="I17" s="14" t="s">
        <v>107</v>
      </c>
      <c r="J17" s="3"/>
      <c r="K17" s="3"/>
    </row>
    <row r="18" spans="1:11" ht="56.1" customHeight="1">
      <c r="A18" s="13" t="s">
        <v>166</v>
      </c>
      <c r="B18" s="13" t="s">
        <v>125</v>
      </c>
      <c r="C18" s="11" t="s">
        <v>167</v>
      </c>
      <c r="D18" s="11" t="s">
        <v>168</v>
      </c>
      <c r="E18" s="13" t="s">
        <v>169</v>
      </c>
      <c r="F18" s="11" t="s">
        <v>170</v>
      </c>
      <c r="G18" s="3"/>
      <c r="H18" s="14"/>
      <c r="I18" s="14" t="s">
        <v>107</v>
      </c>
      <c r="J18" s="3"/>
      <c r="K18" s="3"/>
    </row>
    <row r="19" spans="1:11" ht="56.1" customHeight="1">
      <c r="A19" s="13" t="s">
        <v>171</v>
      </c>
      <c r="B19" s="13" t="s">
        <v>125</v>
      </c>
      <c r="C19" s="11" t="s">
        <v>172</v>
      </c>
      <c r="D19" s="11" t="s">
        <v>173</v>
      </c>
      <c r="E19" s="13" t="s">
        <v>89</v>
      </c>
      <c r="F19" s="11" t="s">
        <v>174</v>
      </c>
      <c r="G19" s="3"/>
      <c r="H19" s="14"/>
      <c r="I19" s="14" t="s">
        <v>107</v>
      </c>
      <c r="J19" s="3"/>
      <c r="K19" s="3"/>
    </row>
    <row r="20" spans="1:11" ht="56.1" customHeight="1">
      <c r="A20" s="13" t="s">
        <v>175</v>
      </c>
      <c r="B20" s="13" t="s">
        <v>125</v>
      </c>
      <c r="C20" s="11" t="s">
        <v>176</v>
      </c>
      <c r="D20" s="11" t="s">
        <v>177</v>
      </c>
      <c r="E20" s="13" t="s">
        <v>178</v>
      </c>
      <c r="F20" s="11" t="s">
        <v>179</v>
      </c>
      <c r="G20" s="3"/>
      <c r="H20" s="14"/>
      <c r="I20" s="14" t="s">
        <v>107</v>
      </c>
      <c r="J20" s="3"/>
      <c r="K20" s="3"/>
    </row>
    <row r="21" spans="1:11" ht="56.1" customHeight="1">
      <c r="A21" s="13" t="s">
        <v>180</v>
      </c>
      <c r="B21" s="13" t="s">
        <v>125</v>
      </c>
      <c r="C21" s="11" t="s">
        <v>181</v>
      </c>
      <c r="D21" s="11" t="s">
        <v>182</v>
      </c>
      <c r="E21" s="13" t="s">
        <v>93</v>
      </c>
      <c r="F21" s="11" t="s">
        <v>183</v>
      </c>
      <c r="G21" s="3"/>
      <c r="H21" s="14"/>
      <c r="I21" s="14" t="s">
        <v>107</v>
      </c>
      <c r="J21" s="3"/>
      <c r="K21" s="3"/>
    </row>
    <row r="22" spans="1:11" ht="56.1" customHeight="1">
      <c r="A22" s="13" t="s">
        <v>184</v>
      </c>
      <c r="B22" s="13" t="s">
        <v>125</v>
      </c>
      <c r="C22" s="11" t="s">
        <v>185</v>
      </c>
      <c r="D22" s="11" t="s">
        <v>186</v>
      </c>
      <c r="E22" s="13" t="s">
        <v>93</v>
      </c>
      <c r="F22" s="11" t="s">
        <v>187</v>
      </c>
      <c r="G22" s="3"/>
      <c r="H22" s="14"/>
      <c r="I22" s="14" t="s">
        <v>107</v>
      </c>
      <c r="J22" s="3"/>
      <c r="K22" s="3"/>
    </row>
    <row r="23" spans="1:11" ht="56.1" customHeight="1">
      <c r="A23" s="13" t="s">
        <v>188</v>
      </c>
      <c r="B23" s="13" t="s">
        <v>125</v>
      </c>
      <c r="C23" s="11" t="s">
        <v>189</v>
      </c>
      <c r="D23" s="11" t="s">
        <v>190</v>
      </c>
      <c r="E23" s="13" t="s">
        <v>93</v>
      </c>
      <c r="F23" s="11" t="s">
        <v>191</v>
      </c>
      <c r="G23" s="3"/>
      <c r="H23" s="14"/>
      <c r="I23" s="14" t="s">
        <v>107</v>
      </c>
      <c r="J23" s="3"/>
      <c r="K23" s="3"/>
    </row>
    <row r="24" spans="1:11" ht="56.1" customHeight="1">
      <c r="A24" s="13" t="s">
        <v>192</v>
      </c>
      <c r="B24" s="13" t="s">
        <v>125</v>
      </c>
      <c r="C24" s="11" t="s">
        <v>193</v>
      </c>
      <c r="D24" s="11" t="s">
        <v>194</v>
      </c>
      <c r="E24" s="13" t="s">
        <v>93</v>
      </c>
      <c r="F24" s="11" t="s">
        <v>195</v>
      </c>
      <c r="G24" s="3"/>
      <c r="H24" s="14"/>
      <c r="I24" s="14" t="s">
        <v>107</v>
      </c>
      <c r="J24" s="3"/>
      <c r="K24" s="3"/>
    </row>
    <row r="25" spans="1:11" ht="56.1" customHeight="1">
      <c r="A25" s="13" t="s">
        <v>196</v>
      </c>
      <c r="B25" s="13" t="s">
        <v>125</v>
      </c>
      <c r="C25" s="11" t="s">
        <v>197</v>
      </c>
      <c r="D25" s="11" t="s">
        <v>198</v>
      </c>
      <c r="E25" s="13" t="s">
        <v>199</v>
      </c>
      <c r="F25" s="11" t="s">
        <v>200</v>
      </c>
      <c r="G25" s="3"/>
      <c r="H25" s="14"/>
      <c r="I25" s="14" t="s">
        <v>107</v>
      </c>
      <c r="J25" s="3"/>
      <c r="K25" s="3"/>
    </row>
    <row r="26" spans="1:11" ht="56.1" customHeight="1">
      <c r="A26" s="13" t="s">
        <v>201</v>
      </c>
      <c r="B26" s="13" t="s">
        <v>125</v>
      </c>
      <c r="C26" s="11" t="s">
        <v>202</v>
      </c>
      <c r="D26" s="11" t="s">
        <v>203</v>
      </c>
      <c r="E26" s="13" t="s">
        <v>65</v>
      </c>
      <c r="F26" s="11" t="s">
        <v>204</v>
      </c>
      <c r="G26" s="3"/>
      <c r="H26" s="14"/>
      <c r="I26" s="14" t="s">
        <v>107</v>
      </c>
      <c r="J26" s="3"/>
      <c r="K26" s="3"/>
    </row>
    <row r="27" spans="1:11" ht="56.1" customHeight="1">
      <c r="A27" s="13" t="s">
        <v>205</v>
      </c>
      <c r="B27" s="13" t="s">
        <v>125</v>
      </c>
      <c r="C27" s="11" t="s">
        <v>206</v>
      </c>
      <c r="D27" s="11" t="s">
        <v>207</v>
      </c>
      <c r="E27" s="13" t="s">
        <v>65</v>
      </c>
      <c r="F27" s="11" t="s">
        <v>208</v>
      </c>
      <c r="G27" s="3"/>
      <c r="H27" s="14"/>
      <c r="I27" s="14" t="s">
        <v>107</v>
      </c>
      <c r="J27" s="3"/>
      <c r="K27" s="3"/>
    </row>
    <row r="28" spans="1:11" ht="56.1" customHeight="1">
      <c r="A28" s="13" t="s">
        <v>209</v>
      </c>
      <c r="B28" s="13" t="s">
        <v>125</v>
      </c>
      <c r="C28" s="11" t="s">
        <v>210</v>
      </c>
      <c r="D28" s="11" t="s">
        <v>211</v>
      </c>
      <c r="E28" s="13" t="s">
        <v>65</v>
      </c>
      <c r="F28" s="11" t="s">
        <v>212</v>
      </c>
      <c r="G28" s="3"/>
      <c r="H28" s="14"/>
      <c r="I28" s="14" t="s">
        <v>107</v>
      </c>
      <c r="J28" s="3"/>
      <c r="K28" s="3"/>
    </row>
    <row r="29" spans="1:11" ht="56.1" customHeight="1">
      <c r="A29" s="13" t="s">
        <v>213</v>
      </c>
      <c r="B29" s="13" t="s">
        <v>214</v>
      </c>
      <c r="C29" s="11" t="s">
        <v>215</v>
      </c>
      <c r="D29" s="11" t="s">
        <v>216</v>
      </c>
      <c r="E29" s="13" t="s">
        <v>217</v>
      </c>
      <c r="F29" s="11" t="s">
        <v>218</v>
      </c>
      <c r="G29" s="3"/>
      <c r="H29" s="14"/>
      <c r="I29" s="14" t="s">
        <v>107</v>
      </c>
      <c r="J29" s="3"/>
      <c r="K29" s="3"/>
    </row>
    <row r="30" spans="1:11" ht="56.1" customHeight="1">
      <c r="A30" s="13" t="s">
        <v>219</v>
      </c>
      <c r="B30" s="13" t="s">
        <v>214</v>
      </c>
      <c r="C30" s="11" t="s">
        <v>220</v>
      </c>
      <c r="D30" s="11" t="s">
        <v>221</v>
      </c>
      <c r="E30" s="13" t="s">
        <v>61</v>
      </c>
      <c r="F30" s="11" t="s">
        <v>222</v>
      </c>
      <c r="G30" s="3"/>
      <c r="H30" s="14"/>
      <c r="I30" s="14" t="s">
        <v>107</v>
      </c>
      <c r="J30" s="3"/>
      <c r="K30" s="3"/>
    </row>
    <row r="31" spans="1:11" ht="56.1" customHeight="1">
      <c r="A31" s="13" t="s">
        <v>223</v>
      </c>
      <c r="B31" s="13" t="s">
        <v>214</v>
      </c>
      <c r="C31" s="11" t="s">
        <v>224</v>
      </c>
      <c r="D31" s="11" t="s">
        <v>225</v>
      </c>
      <c r="E31" s="13" t="s">
        <v>61</v>
      </c>
      <c r="F31" s="11" t="s">
        <v>226</v>
      </c>
      <c r="G31" s="3"/>
      <c r="H31" s="14"/>
      <c r="I31" s="14" t="s">
        <v>107</v>
      </c>
      <c r="J31" s="3"/>
      <c r="K31" s="3"/>
    </row>
    <row r="32" spans="1:11" ht="56.1" customHeight="1">
      <c r="A32" s="13" t="s">
        <v>227</v>
      </c>
      <c r="B32" s="13" t="s">
        <v>214</v>
      </c>
      <c r="C32" s="11" t="s">
        <v>228</v>
      </c>
      <c r="D32" s="11" t="s">
        <v>229</v>
      </c>
      <c r="E32" s="13" t="s">
        <v>230</v>
      </c>
      <c r="F32" s="11" t="s">
        <v>231</v>
      </c>
      <c r="G32" s="3"/>
      <c r="H32" s="14"/>
      <c r="I32" s="14" t="s">
        <v>107</v>
      </c>
      <c r="J32" s="3"/>
      <c r="K32" s="3"/>
    </row>
    <row r="33" spans="1:11" ht="56.1" customHeight="1">
      <c r="A33" s="13" t="s">
        <v>232</v>
      </c>
      <c r="B33" s="13" t="s">
        <v>214</v>
      </c>
      <c r="C33" s="11" t="s">
        <v>233</v>
      </c>
      <c r="D33" s="11" t="s">
        <v>234</v>
      </c>
      <c r="E33" s="13" t="s">
        <v>235</v>
      </c>
      <c r="F33" s="11" t="s">
        <v>236</v>
      </c>
      <c r="G33" s="3"/>
      <c r="H33" s="14"/>
      <c r="I33" s="14" t="s">
        <v>107</v>
      </c>
      <c r="J33" s="3"/>
      <c r="K33" s="3"/>
    </row>
    <row r="34" spans="1:11" ht="56.1" customHeight="1">
      <c r="A34" s="13" t="s">
        <v>237</v>
      </c>
      <c r="B34" s="13" t="s">
        <v>214</v>
      </c>
      <c r="C34" s="11" t="s">
        <v>238</v>
      </c>
      <c r="D34" s="11" t="s">
        <v>239</v>
      </c>
      <c r="E34" s="13" t="s">
        <v>240</v>
      </c>
      <c r="F34" s="11" t="s">
        <v>241</v>
      </c>
      <c r="G34" s="3"/>
      <c r="H34" s="14"/>
      <c r="I34" s="14" t="s">
        <v>107</v>
      </c>
      <c r="J34" s="3"/>
      <c r="K34" s="3"/>
    </row>
    <row r="35" spans="1:11" ht="56.1" customHeight="1">
      <c r="A35" s="13" t="s">
        <v>242</v>
      </c>
      <c r="B35" s="13" t="s">
        <v>214</v>
      </c>
      <c r="C35" s="11" t="s">
        <v>243</v>
      </c>
      <c r="D35" s="11" t="s">
        <v>244</v>
      </c>
      <c r="E35" s="13" t="s">
        <v>245</v>
      </c>
      <c r="F35" s="11" t="s">
        <v>246</v>
      </c>
      <c r="G35" s="3"/>
      <c r="H35" s="14"/>
      <c r="I35" s="14" t="s">
        <v>107</v>
      </c>
      <c r="J35" s="3"/>
      <c r="K35" s="3"/>
    </row>
    <row r="36" spans="1:11" ht="56.1" customHeight="1">
      <c r="A36" s="13" t="s">
        <v>247</v>
      </c>
      <c r="B36" s="13" t="s">
        <v>214</v>
      </c>
      <c r="C36" s="11" t="s">
        <v>248</v>
      </c>
      <c r="D36" s="11" t="s">
        <v>249</v>
      </c>
      <c r="E36" s="13" t="s">
        <v>250</v>
      </c>
      <c r="F36" s="11" t="s">
        <v>251</v>
      </c>
      <c r="G36" s="3"/>
      <c r="H36" s="14"/>
      <c r="I36" s="14" t="s">
        <v>107</v>
      </c>
      <c r="J36" s="3"/>
      <c r="K36" s="3"/>
    </row>
    <row r="37" spans="1:11" ht="56.1" customHeight="1">
      <c r="A37" s="13" t="s">
        <v>252</v>
      </c>
      <c r="B37" s="13" t="s">
        <v>214</v>
      </c>
      <c r="C37" s="11" t="s">
        <v>253</v>
      </c>
      <c r="D37" s="11" t="s">
        <v>254</v>
      </c>
      <c r="E37" s="13" t="s">
        <v>255</v>
      </c>
      <c r="F37" s="11" t="s">
        <v>256</v>
      </c>
      <c r="G37" s="3"/>
      <c r="H37" s="14"/>
      <c r="I37" s="14" t="s">
        <v>107</v>
      </c>
      <c r="J37" s="3"/>
      <c r="K37" s="3"/>
    </row>
    <row r="38" spans="1:11" ht="56.1" customHeight="1">
      <c r="A38" s="13" t="s">
        <v>257</v>
      </c>
      <c r="B38" s="13" t="s">
        <v>214</v>
      </c>
      <c r="C38" s="11" t="s">
        <v>258</v>
      </c>
      <c r="D38" s="11" t="s">
        <v>259</v>
      </c>
      <c r="E38" s="13" t="s">
        <v>260</v>
      </c>
      <c r="F38" s="11" t="s">
        <v>261</v>
      </c>
      <c r="G38" s="3"/>
      <c r="H38" s="14"/>
      <c r="I38" s="14" t="s">
        <v>107</v>
      </c>
      <c r="J38" s="3"/>
      <c r="K38" s="3"/>
    </row>
    <row r="39" spans="1:11" ht="56.1" customHeight="1">
      <c r="A39" s="13" t="s">
        <v>262</v>
      </c>
      <c r="B39" s="13" t="s">
        <v>214</v>
      </c>
      <c r="C39" s="11" t="s">
        <v>263</v>
      </c>
      <c r="D39" s="11" t="s">
        <v>264</v>
      </c>
      <c r="E39" s="13" t="s">
        <v>169</v>
      </c>
      <c r="F39" s="11" t="s">
        <v>170</v>
      </c>
      <c r="G39" s="3"/>
      <c r="H39" s="14"/>
      <c r="I39" s="14" t="s">
        <v>107</v>
      </c>
      <c r="J39" s="3"/>
      <c r="K39" s="3"/>
    </row>
    <row r="40" spans="1:11" ht="56.1" customHeight="1">
      <c r="A40" s="13" t="s">
        <v>265</v>
      </c>
      <c r="B40" s="13" t="s">
        <v>214</v>
      </c>
      <c r="C40" s="11" t="s">
        <v>266</v>
      </c>
      <c r="D40" s="11" t="s">
        <v>267</v>
      </c>
      <c r="E40" s="13" t="s">
        <v>178</v>
      </c>
      <c r="F40" s="11" t="s">
        <v>268</v>
      </c>
      <c r="G40" s="3"/>
      <c r="H40" s="14"/>
      <c r="I40" s="14" t="s">
        <v>107</v>
      </c>
      <c r="J40" s="3"/>
      <c r="K40" s="3"/>
    </row>
    <row r="41" spans="1:11" ht="56.1" customHeight="1">
      <c r="A41" s="13" t="s">
        <v>269</v>
      </c>
      <c r="B41" s="13" t="s">
        <v>214</v>
      </c>
      <c r="C41" s="11" t="s">
        <v>270</v>
      </c>
      <c r="D41" s="11" t="s">
        <v>271</v>
      </c>
      <c r="E41" s="13" t="s">
        <v>199</v>
      </c>
      <c r="F41" s="11" t="s">
        <v>200</v>
      </c>
      <c r="G41" s="3"/>
      <c r="H41" s="14"/>
      <c r="I41" s="14" t="s">
        <v>107</v>
      </c>
      <c r="J41" s="3"/>
      <c r="K41" s="3"/>
    </row>
    <row r="42" spans="1:11" ht="56.1" customHeight="1">
      <c r="A42" s="13" t="s">
        <v>272</v>
      </c>
      <c r="B42" s="13" t="s">
        <v>214</v>
      </c>
      <c r="C42" s="11" t="s">
        <v>273</v>
      </c>
      <c r="D42" s="11" t="s">
        <v>274</v>
      </c>
      <c r="E42" s="13" t="s">
        <v>69</v>
      </c>
      <c r="F42" s="11" t="s">
        <v>275</v>
      </c>
      <c r="G42" s="3"/>
      <c r="H42" s="14"/>
      <c r="I42" s="14" t="s">
        <v>107</v>
      </c>
      <c r="J42" s="3"/>
      <c r="K42" s="3"/>
    </row>
    <row r="43" spans="1:11" ht="56.1" customHeight="1">
      <c r="A43" s="13" t="s">
        <v>276</v>
      </c>
      <c r="B43" s="13" t="s">
        <v>214</v>
      </c>
      <c r="C43" s="11" t="s">
        <v>277</v>
      </c>
      <c r="D43" s="11" t="s">
        <v>278</v>
      </c>
      <c r="E43" s="13" t="s">
        <v>69</v>
      </c>
      <c r="F43" s="11" t="s">
        <v>279</v>
      </c>
      <c r="G43" s="3"/>
      <c r="H43" s="14"/>
      <c r="I43" s="14" t="s">
        <v>107</v>
      </c>
      <c r="J43" s="3"/>
      <c r="K43" s="3"/>
    </row>
    <row r="44" spans="1:11" ht="56.1" customHeight="1">
      <c r="A44" s="13" t="s">
        <v>280</v>
      </c>
      <c r="B44" s="13" t="s">
        <v>214</v>
      </c>
      <c r="C44" s="11" t="s">
        <v>281</v>
      </c>
      <c r="D44" s="11" t="s">
        <v>282</v>
      </c>
      <c r="E44" s="13" t="s">
        <v>69</v>
      </c>
      <c r="F44" s="11" t="s">
        <v>283</v>
      </c>
      <c r="G44" s="3"/>
      <c r="H44" s="14"/>
      <c r="I44" s="14" t="s">
        <v>107</v>
      </c>
      <c r="J44" s="3"/>
      <c r="K44" s="3"/>
    </row>
    <row r="45" spans="1:11">
      <c r="A45" s="1"/>
      <c r="B45" s="1"/>
      <c r="C45" s="1"/>
      <c r="D45" s="1"/>
      <c r="E45" s="1"/>
      <c r="F45" s="1"/>
      <c r="G45" s="1"/>
      <c r="H45" s="1"/>
      <c r="I45" s="1"/>
      <c r="J45" s="1"/>
      <c r="K45" s="1"/>
    </row>
  </sheetData>
  <mergeCells count="2">
    <mergeCell ref="A1:K2"/>
    <mergeCell ref="A3:K3"/>
  </mergeCells>
  <conditionalFormatting sqref="B8:B44">
    <cfRule type="expression" dxfId="7" priority="1">
      <formula>B8="Eingabe"</formula>
    </cfRule>
    <cfRule type="expression" dxfId="6" priority="2">
      <formula>B8="Ausgabe"</formula>
    </cfRule>
    <cfRule type="expression" dxfId="5" priority="3">
      <formula>B8="Eingabe / Ausgabe"</formula>
    </cfRule>
  </conditionalFormatting>
  <conditionalFormatting sqref="I8:I44">
    <cfRule type="expression" dxfId="4" priority="4">
      <formula>I8="Geprüft"</formula>
    </cfRule>
    <cfRule type="expression" dxfId="3" priority="5">
      <formula>I8="Freigegeben"</formula>
    </cfRule>
    <cfRule type="expression" dxfId="2" priority="6">
      <formula>I8="Nicht vorgelegt"</formula>
    </cfRule>
  </conditionalFormatting>
  <dataValidations count="1">
    <dataValidation type="list" sqref="I8:I44" xr:uid="{00000000-0002-0000-0200-000000000000}">
      <formula1>"Nicht vorgelegt,Vorgelegt,In Prüfung,Geprüft,Freigegeben,Nicht anwendbar"</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1"/>
  <sheetViews>
    <sheetView showGridLines="0" workbookViewId="0">
      <selection sqref="A1:G2"/>
    </sheetView>
  </sheetViews>
  <sheetFormatPr baseColWidth="10" defaultColWidth="9" defaultRowHeight="14.25"/>
  <cols>
    <col min="1" max="1" width="10" customWidth="1"/>
    <col min="2" max="2" width="8" customWidth="1"/>
    <col min="3" max="3" width="58" customWidth="1"/>
    <col min="4" max="4" width="18" customWidth="1"/>
    <col min="5" max="5" width="22" customWidth="1"/>
    <col min="6" max="6" width="14" customWidth="1"/>
    <col min="7" max="7" width="20" customWidth="1"/>
  </cols>
  <sheetData>
    <row r="1" spans="1:7" ht="33.950000000000003" customHeight="1">
      <c r="A1" s="18" t="s">
        <v>284</v>
      </c>
      <c r="B1" s="18" t="s">
        <v>284</v>
      </c>
      <c r="C1" s="18" t="s">
        <v>284</v>
      </c>
      <c r="D1" s="18" t="s">
        <v>284</v>
      </c>
      <c r="E1" s="18" t="s">
        <v>284</v>
      </c>
      <c r="F1" s="18" t="s">
        <v>284</v>
      </c>
      <c r="G1" s="18" t="s">
        <v>284</v>
      </c>
    </row>
    <row r="2" spans="1:7" ht="33.950000000000003" customHeight="1">
      <c r="A2" s="18" t="s">
        <v>284</v>
      </c>
      <c r="B2" s="18" t="s">
        <v>284</v>
      </c>
      <c r="C2" s="18" t="s">
        <v>284</v>
      </c>
      <c r="D2" s="18" t="s">
        <v>284</v>
      </c>
      <c r="E2" s="18" t="s">
        <v>284</v>
      </c>
      <c r="F2" s="18" t="s">
        <v>284</v>
      </c>
      <c r="G2" s="18" t="s">
        <v>284</v>
      </c>
    </row>
    <row r="3" spans="1:7">
      <c r="A3" s="24" t="s">
        <v>285</v>
      </c>
      <c r="B3" s="24"/>
      <c r="C3" s="24"/>
      <c r="D3" s="24"/>
      <c r="E3" s="24"/>
      <c r="F3" s="24"/>
      <c r="G3" s="24"/>
    </row>
    <row r="4" spans="1:7">
      <c r="A4" s="1"/>
      <c r="B4" s="1"/>
      <c r="C4" s="1"/>
      <c r="D4" s="1"/>
      <c r="E4" s="1"/>
      <c r="F4" s="1"/>
      <c r="G4" s="1"/>
    </row>
    <row r="5" spans="1:7">
      <c r="A5" s="10" t="s">
        <v>108</v>
      </c>
      <c r="B5" s="10" t="s">
        <v>286</v>
      </c>
      <c r="C5" s="10" t="s">
        <v>287</v>
      </c>
      <c r="D5" s="10" t="s">
        <v>112</v>
      </c>
      <c r="E5" s="10" t="s">
        <v>117</v>
      </c>
      <c r="F5" s="10" t="s">
        <v>288</v>
      </c>
      <c r="G5" s="10" t="s">
        <v>116</v>
      </c>
    </row>
    <row r="6" spans="1:7" ht="33.950000000000003" customHeight="1">
      <c r="A6" s="10" t="s">
        <v>289</v>
      </c>
      <c r="B6" s="3"/>
      <c r="C6" s="3"/>
      <c r="D6" s="3"/>
      <c r="E6" s="3"/>
      <c r="F6" s="4"/>
      <c r="G6" s="3" t="s">
        <v>290</v>
      </c>
    </row>
    <row r="7" spans="1:7" ht="33.950000000000003" customHeight="1">
      <c r="A7" s="10" t="s">
        <v>291</v>
      </c>
      <c r="B7" s="3"/>
      <c r="C7" s="3"/>
      <c r="D7" s="3"/>
      <c r="E7" s="3"/>
      <c r="F7" s="4"/>
      <c r="G7" s="3" t="s">
        <v>290</v>
      </c>
    </row>
    <row r="8" spans="1:7" ht="33.950000000000003" customHeight="1">
      <c r="A8" s="10" t="s">
        <v>292</v>
      </c>
      <c r="B8" s="3"/>
      <c r="C8" s="3"/>
      <c r="D8" s="3"/>
      <c r="E8" s="3"/>
      <c r="F8" s="4"/>
      <c r="G8" s="3" t="s">
        <v>290</v>
      </c>
    </row>
    <row r="9" spans="1:7" ht="33.950000000000003" customHeight="1">
      <c r="A9" s="10" t="s">
        <v>293</v>
      </c>
      <c r="B9" s="3"/>
      <c r="C9" s="3"/>
      <c r="D9" s="3"/>
      <c r="E9" s="3"/>
      <c r="F9" s="4"/>
      <c r="G9" s="3" t="s">
        <v>290</v>
      </c>
    </row>
    <row r="10" spans="1:7" ht="33.950000000000003" customHeight="1">
      <c r="A10" s="10" t="s">
        <v>294</v>
      </c>
      <c r="B10" s="3"/>
      <c r="C10" s="3"/>
      <c r="D10" s="3"/>
      <c r="E10" s="3"/>
      <c r="F10" s="4"/>
      <c r="G10" s="3" t="s">
        <v>290</v>
      </c>
    </row>
    <row r="11" spans="1:7" ht="33.950000000000003" customHeight="1">
      <c r="A11" s="10" t="s">
        <v>295</v>
      </c>
      <c r="B11" s="3"/>
      <c r="C11" s="3"/>
      <c r="D11" s="3"/>
      <c r="E11" s="3"/>
      <c r="F11" s="4"/>
      <c r="G11" s="3" t="s">
        <v>290</v>
      </c>
    </row>
    <row r="12" spans="1:7" ht="33.950000000000003" customHeight="1">
      <c r="A12" s="10" t="s">
        <v>296</v>
      </c>
      <c r="B12" s="3"/>
      <c r="C12" s="3"/>
      <c r="D12" s="3"/>
      <c r="E12" s="3"/>
      <c r="F12" s="4"/>
      <c r="G12" s="3" t="s">
        <v>290</v>
      </c>
    </row>
    <row r="13" spans="1:7" ht="33.950000000000003" customHeight="1">
      <c r="A13" s="10" t="s">
        <v>297</v>
      </c>
      <c r="B13" s="3"/>
      <c r="C13" s="3"/>
      <c r="D13" s="3"/>
      <c r="E13" s="3"/>
      <c r="F13" s="4"/>
      <c r="G13" s="3" t="s">
        <v>290</v>
      </c>
    </row>
    <row r="14" spans="1:7" ht="33.950000000000003" customHeight="1">
      <c r="A14" s="10" t="s">
        <v>298</v>
      </c>
      <c r="B14" s="3"/>
      <c r="C14" s="3"/>
      <c r="D14" s="3"/>
      <c r="E14" s="3"/>
      <c r="F14" s="4"/>
      <c r="G14" s="3" t="s">
        <v>290</v>
      </c>
    </row>
    <row r="15" spans="1:7" ht="33.950000000000003" customHeight="1">
      <c r="A15" s="10" t="s">
        <v>299</v>
      </c>
      <c r="B15" s="3"/>
      <c r="C15" s="3"/>
      <c r="D15" s="3"/>
      <c r="E15" s="3"/>
      <c r="F15" s="4"/>
      <c r="G15" s="3" t="s">
        <v>290</v>
      </c>
    </row>
    <row r="16" spans="1:7" ht="33.950000000000003" customHeight="1">
      <c r="A16" s="10" t="s">
        <v>300</v>
      </c>
      <c r="B16" s="3"/>
      <c r="C16" s="3"/>
      <c r="D16" s="3"/>
      <c r="E16" s="3"/>
      <c r="F16" s="4"/>
      <c r="G16" s="3" t="s">
        <v>290</v>
      </c>
    </row>
    <row r="17" spans="1:7" ht="33.950000000000003" customHeight="1">
      <c r="A17" s="10" t="s">
        <v>301</v>
      </c>
      <c r="B17" s="3"/>
      <c r="C17" s="3"/>
      <c r="D17" s="3"/>
      <c r="E17" s="3"/>
      <c r="F17" s="4"/>
      <c r="G17" s="3" t="s">
        <v>290</v>
      </c>
    </row>
    <row r="18" spans="1:7" ht="33.950000000000003" customHeight="1">
      <c r="A18" s="10" t="s">
        <v>302</v>
      </c>
      <c r="B18" s="3"/>
      <c r="C18" s="3"/>
      <c r="D18" s="3"/>
      <c r="E18" s="3"/>
      <c r="F18" s="4"/>
      <c r="G18" s="3" t="s">
        <v>290</v>
      </c>
    </row>
    <row r="19" spans="1:7" ht="33.950000000000003" customHeight="1">
      <c r="A19" s="10" t="s">
        <v>303</v>
      </c>
      <c r="B19" s="3"/>
      <c r="C19" s="3"/>
      <c r="D19" s="3"/>
      <c r="E19" s="3"/>
      <c r="F19" s="4"/>
      <c r="G19" s="3" t="s">
        <v>290</v>
      </c>
    </row>
    <row r="20" spans="1:7" ht="33.950000000000003" customHeight="1">
      <c r="A20" s="10" t="s">
        <v>304</v>
      </c>
      <c r="B20" s="3"/>
      <c r="C20" s="3"/>
      <c r="D20" s="3"/>
      <c r="E20" s="3"/>
      <c r="F20" s="4"/>
      <c r="G20" s="3" t="s">
        <v>290</v>
      </c>
    </row>
    <row r="21" spans="1:7" ht="33.950000000000003" customHeight="1">
      <c r="A21" s="10" t="s">
        <v>305</v>
      </c>
      <c r="B21" s="3"/>
      <c r="C21" s="3"/>
      <c r="D21" s="3"/>
      <c r="E21" s="3"/>
      <c r="F21" s="4"/>
      <c r="G21" s="3" t="s">
        <v>290</v>
      </c>
    </row>
    <row r="22" spans="1:7" ht="33.950000000000003" customHeight="1">
      <c r="A22" s="10" t="s">
        <v>306</v>
      </c>
      <c r="B22" s="3"/>
      <c r="C22" s="3"/>
      <c r="D22" s="3"/>
      <c r="E22" s="3"/>
      <c r="F22" s="4"/>
      <c r="G22" s="3" t="s">
        <v>290</v>
      </c>
    </row>
    <row r="23" spans="1:7" ht="33.950000000000003" customHeight="1">
      <c r="A23" s="10" t="s">
        <v>307</v>
      </c>
      <c r="B23" s="3"/>
      <c r="C23" s="3"/>
      <c r="D23" s="3"/>
      <c r="E23" s="3"/>
      <c r="F23" s="4"/>
      <c r="G23" s="3" t="s">
        <v>290</v>
      </c>
    </row>
    <row r="24" spans="1:7" ht="33.950000000000003" customHeight="1">
      <c r="A24" s="10" t="s">
        <v>308</v>
      </c>
      <c r="B24" s="3"/>
      <c r="C24" s="3"/>
      <c r="D24" s="3"/>
      <c r="E24" s="3"/>
      <c r="F24" s="4"/>
      <c r="G24" s="3" t="s">
        <v>290</v>
      </c>
    </row>
    <row r="25" spans="1:7" ht="33.950000000000003" customHeight="1">
      <c r="A25" s="10" t="s">
        <v>309</v>
      </c>
      <c r="B25" s="3"/>
      <c r="C25" s="3"/>
      <c r="D25" s="3"/>
      <c r="E25" s="3"/>
      <c r="F25" s="4"/>
      <c r="G25" s="3" t="s">
        <v>290</v>
      </c>
    </row>
    <row r="26" spans="1:7">
      <c r="A26" s="1"/>
      <c r="B26" s="1"/>
      <c r="C26" s="1"/>
      <c r="D26" s="1"/>
      <c r="E26" s="1"/>
      <c r="F26" s="1"/>
      <c r="G26" s="1"/>
    </row>
    <row r="27" spans="1:7">
      <c r="A27" s="1"/>
      <c r="B27" s="1"/>
      <c r="C27" s="1"/>
      <c r="D27" s="1"/>
      <c r="E27" s="1"/>
      <c r="F27" s="1"/>
      <c r="G27" s="1"/>
    </row>
    <row r="28" spans="1:7">
      <c r="A28" s="1"/>
      <c r="B28" s="1"/>
      <c r="C28" s="1"/>
      <c r="D28" s="1"/>
      <c r="E28" s="1"/>
      <c r="F28" s="1"/>
      <c r="G28" s="1"/>
    </row>
    <row r="29" spans="1:7">
      <c r="A29" s="1"/>
      <c r="B29" s="1"/>
      <c r="C29" s="1"/>
      <c r="D29" s="1"/>
      <c r="E29" s="1"/>
      <c r="F29" s="1"/>
      <c r="G29" s="1"/>
    </row>
    <row r="30" spans="1:7">
      <c r="A30" s="1"/>
      <c r="B30" s="1"/>
      <c r="C30" s="1"/>
      <c r="D30" s="1"/>
      <c r="E30" s="1"/>
      <c r="F30" s="1"/>
      <c r="G30" s="1"/>
    </row>
    <row r="31" spans="1:7">
      <c r="A31" s="1"/>
      <c r="B31" s="1"/>
      <c r="C31" s="1"/>
      <c r="D31" s="1"/>
      <c r="E31" s="1"/>
      <c r="F31" s="1"/>
      <c r="G31" s="1"/>
    </row>
  </sheetData>
  <mergeCells count="2">
    <mergeCell ref="A1:G2"/>
    <mergeCell ref="A3:G3"/>
  </mergeCells>
  <conditionalFormatting sqref="G6:G25">
    <cfRule type="expression" dxfId="1" priority="1">
      <formula>G6="Erledigt"</formula>
    </cfRule>
    <cfRule type="expression" dxfId="0" priority="2">
      <formula>G6="Offen"</formula>
    </cfRule>
  </conditionalFormatting>
  <dataValidations count="2">
    <dataValidation type="list" sqref="B6:B25" xr:uid="{00000000-0002-0000-0300-000000000000}">
      <formula1>"A,I,B"</formula1>
    </dataValidation>
    <dataValidation type="list" sqref="G6:G25" xr:uid="{00000000-0002-0000-0300-000001000000}">
      <formula1>"Offen,In Bearbeitung,Erledigt,Zurückgestellt"</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showGridLines="0" workbookViewId="0">
      <pane ySplit="5" topLeftCell="A11" activePane="bottomLeft" state="frozen"/>
      <selection pane="bottomLeft" activeCell="C12" sqref="C12"/>
    </sheetView>
  </sheetViews>
  <sheetFormatPr baseColWidth="10" defaultColWidth="9" defaultRowHeight="14.25"/>
  <cols>
    <col min="1" max="1" width="8" customWidth="1"/>
    <col min="2" max="2" width="42" customWidth="1"/>
    <col min="3" max="3" width="22" customWidth="1"/>
    <col min="4" max="6" width="9" customWidth="1"/>
    <col min="7" max="7" width="72" customWidth="1"/>
    <col min="8" max="8" width="58" customWidth="1"/>
  </cols>
  <sheetData>
    <row r="1" spans="1:8" ht="33.950000000000003" customHeight="1">
      <c r="A1" s="18" t="s">
        <v>310</v>
      </c>
      <c r="B1" s="18" t="s">
        <v>310</v>
      </c>
      <c r="C1" s="18" t="s">
        <v>310</v>
      </c>
      <c r="D1" s="18" t="s">
        <v>310</v>
      </c>
      <c r="E1" s="18" t="s">
        <v>310</v>
      </c>
      <c r="F1" s="18" t="s">
        <v>310</v>
      </c>
      <c r="G1" s="18" t="s">
        <v>310</v>
      </c>
      <c r="H1" s="18" t="s">
        <v>310</v>
      </c>
    </row>
    <row r="2" spans="1:8" ht="33.950000000000003" customHeight="1">
      <c r="A2" s="18" t="s">
        <v>310</v>
      </c>
      <c r="B2" s="18" t="s">
        <v>310</v>
      </c>
      <c r="C2" s="18" t="s">
        <v>310</v>
      </c>
      <c r="D2" s="18" t="s">
        <v>310</v>
      </c>
      <c r="E2" s="18" t="s">
        <v>310</v>
      </c>
      <c r="F2" s="18" t="s">
        <v>310</v>
      </c>
      <c r="G2" s="18" t="s">
        <v>310</v>
      </c>
      <c r="H2" s="18" t="s">
        <v>310</v>
      </c>
    </row>
    <row r="3" spans="1:8">
      <c r="A3" s="24" t="s">
        <v>311</v>
      </c>
      <c r="B3" s="24"/>
      <c r="C3" s="24"/>
      <c r="D3" s="24"/>
      <c r="E3" s="24"/>
      <c r="F3" s="24"/>
      <c r="G3" s="24"/>
      <c r="H3" s="24"/>
    </row>
    <row r="4" spans="1:8">
      <c r="A4" s="1"/>
      <c r="B4" s="1"/>
      <c r="C4" s="1"/>
      <c r="D4" s="1"/>
      <c r="E4" s="1"/>
      <c r="F4" s="1"/>
      <c r="G4" s="1"/>
      <c r="H4" s="1"/>
    </row>
    <row r="5" spans="1:8">
      <c r="A5" s="10" t="s">
        <v>36</v>
      </c>
      <c r="B5" s="10" t="s">
        <v>312</v>
      </c>
      <c r="C5" s="10" t="s">
        <v>313</v>
      </c>
      <c r="D5" s="10" t="s">
        <v>314</v>
      </c>
      <c r="E5" s="10" t="s">
        <v>315</v>
      </c>
      <c r="F5" s="10" t="s">
        <v>316</v>
      </c>
      <c r="G5" s="10" t="s">
        <v>317</v>
      </c>
      <c r="H5" s="10" t="s">
        <v>113</v>
      </c>
    </row>
    <row r="6" spans="1:8" ht="90" customHeight="1">
      <c r="A6" s="13" t="s">
        <v>46</v>
      </c>
      <c r="B6" s="16" t="s">
        <v>318</v>
      </c>
      <c r="C6" s="13" t="s">
        <v>319</v>
      </c>
      <c r="D6" s="13" t="s">
        <v>320</v>
      </c>
      <c r="E6" s="13" t="s">
        <v>321</v>
      </c>
      <c r="F6" s="13" t="s">
        <v>321</v>
      </c>
      <c r="G6" s="12" t="s">
        <v>322</v>
      </c>
      <c r="H6" s="12" t="s">
        <v>323</v>
      </c>
    </row>
    <row r="7" spans="1:8" ht="90" customHeight="1">
      <c r="A7" s="13" t="s">
        <v>50</v>
      </c>
      <c r="B7" s="16" t="s">
        <v>324</v>
      </c>
      <c r="C7" s="13" t="s">
        <v>325</v>
      </c>
      <c r="D7" s="13" t="s">
        <v>321</v>
      </c>
      <c r="E7" s="13" t="s">
        <v>321</v>
      </c>
      <c r="F7" s="13" t="s">
        <v>321</v>
      </c>
      <c r="G7" s="12" t="s">
        <v>326</v>
      </c>
      <c r="H7" s="12" t="s">
        <v>327</v>
      </c>
    </row>
    <row r="8" spans="1:8" ht="90" customHeight="1">
      <c r="A8" s="13" t="s">
        <v>54</v>
      </c>
      <c r="B8" s="16" t="s">
        <v>328</v>
      </c>
      <c r="C8" s="13" t="s">
        <v>329</v>
      </c>
      <c r="D8" s="13" t="s">
        <v>321</v>
      </c>
      <c r="E8" s="13" t="s">
        <v>330</v>
      </c>
      <c r="F8" s="13" t="s">
        <v>330</v>
      </c>
      <c r="G8" s="12" t="s">
        <v>331</v>
      </c>
      <c r="H8" s="12" t="s">
        <v>332</v>
      </c>
    </row>
    <row r="9" spans="1:8" ht="90" customHeight="1">
      <c r="A9" s="13" t="s">
        <v>57</v>
      </c>
      <c r="B9" s="16" t="s">
        <v>333</v>
      </c>
      <c r="C9" s="13" t="s">
        <v>334</v>
      </c>
      <c r="D9" s="13" t="s">
        <v>321</v>
      </c>
      <c r="E9" s="13" t="s">
        <v>330</v>
      </c>
      <c r="F9" s="13" t="s">
        <v>330</v>
      </c>
      <c r="G9" s="12" t="s">
        <v>335</v>
      </c>
      <c r="H9" s="12" t="s">
        <v>336</v>
      </c>
    </row>
    <row r="10" spans="1:8" ht="90" customHeight="1">
      <c r="A10" s="13" t="s">
        <v>61</v>
      </c>
      <c r="B10" s="16" t="s">
        <v>337</v>
      </c>
      <c r="C10" s="13" t="s">
        <v>338</v>
      </c>
      <c r="D10" s="13" t="s">
        <v>321</v>
      </c>
      <c r="E10" s="13" t="s">
        <v>321</v>
      </c>
      <c r="F10" s="13" t="s">
        <v>330</v>
      </c>
      <c r="G10" s="12" t="s">
        <v>339</v>
      </c>
      <c r="H10" s="12" t="s">
        <v>340</v>
      </c>
    </row>
    <row r="11" spans="1:8" ht="90" customHeight="1">
      <c r="A11" s="13" t="s">
        <v>65</v>
      </c>
      <c r="B11" s="16" t="s">
        <v>341</v>
      </c>
      <c r="C11" s="13" t="s">
        <v>338</v>
      </c>
      <c r="D11" s="13" t="s">
        <v>321</v>
      </c>
      <c r="E11" s="13" t="s">
        <v>321</v>
      </c>
      <c r="F11" s="13" t="s">
        <v>330</v>
      </c>
      <c r="G11" s="12" t="s">
        <v>342</v>
      </c>
      <c r="H11" s="12" t="s">
        <v>340</v>
      </c>
    </row>
    <row r="12" spans="1:8" ht="90" customHeight="1">
      <c r="A12" s="13" t="s">
        <v>69</v>
      </c>
      <c r="B12" s="16" t="s">
        <v>343</v>
      </c>
      <c r="C12" s="13" t="s">
        <v>344</v>
      </c>
      <c r="D12" s="13" t="s">
        <v>321</v>
      </c>
      <c r="E12" s="13" t="s">
        <v>321</v>
      </c>
      <c r="F12" s="13" t="s">
        <v>330</v>
      </c>
      <c r="G12" s="12" t="s">
        <v>345</v>
      </c>
      <c r="H12" s="12" t="s">
        <v>346</v>
      </c>
    </row>
    <row r="13" spans="1:8" ht="90" customHeight="1">
      <c r="A13" s="13" t="s">
        <v>347</v>
      </c>
      <c r="B13" s="16" t="s">
        <v>348</v>
      </c>
      <c r="C13" s="13" t="s">
        <v>349</v>
      </c>
      <c r="D13" s="13" t="s">
        <v>349</v>
      </c>
      <c r="E13" s="13" t="s">
        <v>349</v>
      </c>
      <c r="F13" s="13" t="s">
        <v>349</v>
      </c>
      <c r="G13" s="12" t="s">
        <v>350</v>
      </c>
      <c r="H13" s="12" t="s">
        <v>351</v>
      </c>
    </row>
    <row r="14" spans="1:8" ht="90" customHeight="1">
      <c r="A14" s="13" t="s">
        <v>352</v>
      </c>
      <c r="B14" s="16" t="s">
        <v>353</v>
      </c>
      <c r="C14" s="13" t="s">
        <v>354</v>
      </c>
      <c r="D14" s="13" t="s">
        <v>354</v>
      </c>
      <c r="E14" s="13" t="s">
        <v>354</v>
      </c>
      <c r="F14" s="13" t="s">
        <v>354</v>
      </c>
      <c r="G14" s="12" t="s">
        <v>355</v>
      </c>
      <c r="H14" s="12" t="s">
        <v>356</v>
      </c>
    </row>
    <row r="15" spans="1:8" ht="90" customHeight="1">
      <c r="A15" s="13" t="s">
        <v>357</v>
      </c>
      <c r="B15" s="16" t="s">
        <v>358</v>
      </c>
      <c r="C15" s="13" t="s">
        <v>359</v>
      </c>
      <c r="D15" s="13" t="s">
        <v>359</v>
      </c>
      <c r="E15" s="13" t="s">
        <v>359</v>
      </c>
      <c r="F15" s="13" t="s">
        <v>359</v>
      </c>
      <c r="G15" s="12" t="s">
        <v>360</v>
      </c>
      <c r="H15" s="12" t="s">
        <v>361</v>
      </c>
    </row>
    <row r="16" spans="1:8">
      <c r="A16" s="1"/>
      <c r="B16" s="1"/>
      <c r="C16" s="1"/>
      <c r="D16" s="1"/>
      <c r="E16" s="1"/>
      <c r="F16" s="1"/>
      <c r="G16" s="1"/>
      <c r="H16" s="1"/>
    </row>
    <row r="17" spans="1:8">
      <c r="A17" s="1"/>
      <c r="B17" s="1"/>
      <c r="C17" s="1"/>
      <c r="D17" s="1"/>
      <c r="E17" s="1"/>
      <c r="F17" s="1"/>
      <c r="G17" s="1"/>
      <c r="H17" s="1"/>
    </row>
    <row r="18" spans="1:8">
      <c r="A18" s="1"/>
      <c r="B18" s="1"/>
      <c r="C18" s="1"/>
      <c r="D18" s="1"/>
      <c r="E18" s="1"/>
      <c r="F18" s="1"/>
      <c r="G18" s="1"/>
      <c r="H18" s="1"/>
    </row>
  </sheetData>
  <mergeCells count="2">
    <mergeCell ref="A1:H2"/>
    <mergeCell ref="A3:H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8"/>
  <sheetViews>
    <sheetView showGridLines="0" tabSelected="1" workbookViewId="0">
      <selection sqref="A1:D2"/>
    </sheetView>
  </sheetViews>
  <sheetFormatPr baseColWidth="10" defaultColWidth="9" defaultRowHeight="14.25"/>
  <cols>
    <col min="1" max="1" width="14" customWidth="1"/>
    <col min="2" max="2" width="42" customWidth="1"/>
    <col min="3" max="3" width="48" customWidth="1"/>
    <col min="4" max="4" width="38" customWidth="1"/>
  </cols>
  <sheetData>
    <row r="1" spans="1:4" ht="33.950000000000003" customHeight="1">
      <c r="A1" s="18" t="s">
        <v>362</v>
      </c>
      <c r="B1" s="18" t="s">
        <v>362</v>
      </c>
      <c r="C1" s="18" t="s">
        <v>362</v>
      </c>
      <c r="D1" s="18" t="s">
        <v>362</v>
      </c>
    </row>
    <row r="2" spans="1:4" ht="33.950000000000003" customHeight="1">
      <c r="A2" s="18" t="s">
        <v>362</v>
      </c>
      <c r="B2" s="18" t="s">
        <v>362</v>
      </c>
      <c r="C2" s="18" t="s">
        <v>362</v>
      </c>
      <c r="D2" s="18" t="s">
        <v>362</v>
      </c>
    </row>
    <row r="3" spans="1:4">
      <c r="A3" s="1"/>
      <c r="B3" s="1"/>
      <c r="C3" s="1"/>
      <c r="D3" s="1"/>
    </row>
    <row r="4" spans="1:4" ht="24" customHeight="1">
      <c r="A4" s="21" t="s">
        <v>363</v>
      </c>
      <c r="B4" s="21" t="s">
        <v>363</v>
      </c>
      <c r="C4" s="21" t="s">
        <v>363</v>
      </c>
      <c r="D4" s="21" t="s">
        <v>363</v>
      </c>
    </row>
    <row r="5" spans="1:4">
      <c r="A5" s="9" t="s">
        <v>364</v>
      </c>
      <c r="B5" s="9" t="s">
        <v>365</v>
      </c>
      <c r="C5" s="9" t="s">
        <v>366</v>
      </c>
      <c r="D5" s="9" t="s">
        <v>367</v>
      </c>
    </row>
    <row r="6" spans="1:4" ht="48" customHeight="1">
      <c r="A6" s="17" t="s">
        <v>330</v>
      </c>
      <c r="B6" s="9" t="s">
        <v>368</v>
      </c>
      <c r="C6" s="9" t="s">
        <v>369</v>
      </c>
      <c r="D6" s="9" t="s">
        <v>370</v>
      </c>
    </row>
    <row r="7" spans="1:4" ht="48" customHeight="1">
      <c r="A7" s="17" t="s">
        <v>321</v>
      </c>
      <c r="B7" s="9" t="s">
        <v>371</v>
      </c>
      <c r="C7" s="9" t="s">
        <v>372</v>
      </c>
      <c r="D7" s="9" t="s">
        <v>370</v>
      </c>
    </row>
    <row r="8" spans="1:4" ht="48" customHeight="1">
      <c r="A8" s="17" t="s">
        <v>320</v>
      </c>
      <c r="B8" s="9" t="s">
        <v>373</v>
      </c>
      <c r="C8" s="9" t="s">
        <v>374</v>
      </c>
      <c r="D8" s="9" t="s">
        <v>370</v>
      </c>
    </row>
    <row r="9" spans="1:4" ht="48" customHeight="1">
      <c r="A9" s="17" t="s">
        <v>375</v>
      </c>
      <c r="B9" s="9" t="s">
        <v>376</v>
      </c>
      <c r="C9" s="9" t="s">
        <v>377</v>
      </c>
      <c r="D9" s="9" t="s">
        <v>370</v>
      </c>
    </row>
    <row r="10" spans="1:4">
      <c r="A10" s="1"/>
      <c r="B10" s="1"/>
      <c r="C10" s="1"/>
      <c r="D10" s="1"/>
    </row>
    <row r="11" spans="1:4" ht="24" customHeight="1">
      <c r="A11" s="21" t="s">
        <v>378</v>
      </c>
      <c r="B11" s="21" t="s">
        <v>378</v>
      </c>
      <c r="C11" s="21" t="s">
        <v>378</v>
      </c>
      <c r="D11" s="21" t="s">
        <v>378</v>
      </c>
    </row>
    <row r="12" spans="1:4">
      <c r="A12" s="9" t="s">
        <v>379</v>
      </c>
      <c r="B12" s="9" t="s">
        <v>380</v>
      </c>
      <c r="C12" s="9" t="s">
        <v>381</v>
      </c>
      <c r="D12" s="9" t="s">
        <v>382</v>
      </c>
    </row>
    <row r="13" spans="1:4" ht="51.95" customHeight="1">
      <c r="A13" s="9" t="s">
        <v>46</v>
      </c>
      <c r="B13" s="9" t="s">
        <v>383</v>
      </c>
      <c r="C13" s="9" t="s">
        <v>384</v>
      </c>
      <c r="D13" s="9" t="s">
        <v>385</v>
      </c>
    </row>
    <row r="14" spans="1:4" ht="51.95" customHeight="1">
      <c r="A14" s="9" t="s">
        <v>50</v>
      </c>
      <c r="B14" s="9" t="s">
        <v>386</v>
      </c>
      <c r="C14" s="9" t="s">
        <v>387</v>
      </c>
      <c r="D14" s="9" t="s">
        <v>388</v>
      </c>
    </row>
    <row r="15" spans="1:4" ht="51.95" customHeight="1">
      <c r="A15" s="9" t="s">
        <v>54</v>
      </c>
      <c r="B15" s="9" t="s">
        <v>389</v>
      </c>
      <c r="C15" s="9" t="s">
        <v>390</v>
      </c>
      <c r="D15" s="9" t="s">
        <v>391</v>
      </c>
    </row>
    <row r="16" spans="1:4" ht="51.95" customHeight="1">
      <c r="A16" s="9" t="s">
        <v>57</v>
      </c>
      <c r="B16" s="9" t="s">
        <v>392</v>
      </c>
      <c r="C16" s="9" t="s">
        <v>393</v>
      </c>
      <c r="D16" s="9" t="s">
        <v>394</v>
      </c>
    </row>
    <row r="17" spans="1:4" ht="51.95" customHeight="1">
      <c r="A17" s="9" t="s">
        <v>61</v>
      </c>
      <c r="B17" s="9" t="s">
        <v>395</v>
      </c>
      <c r="C17" s="9" t="s">
        <v>396</v>
      </c>
      <c r="D17" s="9" t="s">
        <v>397</v>
      </c>
    </row>
    <row r="18" spans="1:4" ht="51.95" customHeight="1">
      <c r="A18" s="9" t="s">
        <v>65</v>
      </c>
      <c r="B18" s="9" t="s">
        <v>398</v>
      </c>
      <c r="C18" s="9" t="s">
        <v>399</v>
      </c>
      <c r="D18" s="9" t="s">
        <v>400</v>
      </c>
    </row>
    <row r="19" spans="1:4" ht="51.95" customHeight="1">
      <c r="A19" s="9" t="s">
        <v>69</v>
      </c>
      <c r="B19" s="9" t="s">
        <v>401</v>
      </c>
      <c r="C19" s="9" t="s">
        <v>402</v>
      </c>
      <c r="D19" s="9" t="s">
        <v>403</v>
      </c>
    </row>
    <row r="20" spans="1:4">
      <c r="A20" s="1"/>
      <c r="B20" s="1"/>
      <c r="C20" s="1"/>
      <c r="D20" s="1"/>
    </row>
    <row r="21" spans="1:4">
      <c r="A21" s="25" t="s">
        <v>404</v>
      </c>
      <c r="B21" s="25"/>
      <c r="C21" s="25"/>
      <c r="D21" s="25"/>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1"/>
      <c r="B28" s="1"/>
      <c r="C28" s="1"/>
      <c r="D28" s="1"/>
    </row>
  </sheetData>
  <mergeCells count="4">
    <mergeCell ref="A1:D2"/>
    <mergeCell ref="A4:D4"/>
    <mergeCell ref="A11:D11"/>
    <mergeCell ref="A21:D21"/>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
  <sheetViews>
    <sheetView showGridLines="0" workbookViewId="0">
      <selection sqref="A1:C2"/>
    </sheetView>
  </sheetViews>
  <sheetFormatPr baseColWidth="10" defaultColWidth="9" defaultRowHeight="14.25"/>
  <cols>
    <col min="1" max="1" width="52" customWidth="1"/>
    <col min="2" max="2" width="18" customWidth="1"/>
    <col min="3" max="3" width="38" customWidth="1"/>
  </cols>
  <sheetData>
    <row r="1" spans="1:3" ht="33.950000000000003" customHeight="1">
      <c r="A1" s="18" t="s">
        <v>405</v>
      </c>
      <c r="B1" s="18" t="s">
        <v>405</v>
      </c>
      <c r="C1" s="18" t="s">
        <v>405</v>
      </c>
    </row>
    <row r="2" spans="1:3" ht="33.950000000000003" customHeight="1">
      <c r="A2" s="18" t="s">
        <v>405</v>
      </c>
      <c r="B2" s="18" t="s">
        <v>405</v>
      </c>
      <c r="C2" s="18" t="s">
        <v>405</v>
      </c>
    </row>
    <row r="3" spans="1:3">
      <c r="A3" s="1"/>
      <c r="B3" s="1"/>
      <c r="C3" s="1"/>
    </row>
    <row r="4" spans="1:3">
      <c r="A4" s="10" t="s">
        <v>406</v>
      </c>
      <c r="B4" s="10" t="s">
        <v>407</v>
      </c>
      <c r="C4" s="10" t="s">
        <v>408</v>
      </c>
    </row>
    <row r="5" spans="1:3" ht="48" customHeight="1">
      <c r="A5" s="3"/>
      <c r="B5" s="4"/>
      <c r="C5" s="3"/>
    </row>
    <row r="6" spans="1:3" ht="48" customHeight="1">
      <c r="A6" s="3"/>
      <c r="B6" s="4"/>
      <c r="C6" s="3"/>
    </row>
    <row r="7" spans="1:3" ht="48" customHeight="1">
      <c r="A7" s="3"/>
      <c r="B7" s="4"/>
      <c r="C7" s="3"/>
    </row>
    <row r="8" spans="1:3" ht="48" customHeight="1">
      <c r="A8" s="3"/>
      <c r="B8" s="4"/>
      <c r="C8" s="3"/>
    </row>
    <row r="9" spans="1:3" ht="48" customHeight="1">
      <c r="A9" s="3"/>
      <c r="B9" s="4"/>
      <c r="C9" s="3"/>
    </row>
    <row r="10" spans="1:3" ht="48" customHeight="1">
      <c r="A10" s="3"/>
      <c r="B10" s="4"/>
      <c r="C10" s="3"/>
    </row>
    <row r="11" spans="1:3" ht="48" customHeight="1">
      <c r="A11" s="3"/>
      <c r="B11" s="4"/>
      <c r="C11" s="3"/>
    </row>
    <row r="12" spans="1:3">
      <c r="A12" s="1"/>
      <c r="B12" s="1"/>
      <c r="C12" s="1"/>
    </row>
    <row r="13" spans="1:3">
      <c r="A13" s="1"/>
      <c r="B13" s="1"/>
      <c r="C13" s="1"/>
    </row>
    <row r="14" spans="1:3">
      <c r="A14" s="1"/>
      <c r="B14" s="1"/>
      <c r="C14" s="1"/>
    </row>
    <row r="15" spans="1:3">
      <c r="A15" s="1"/>
      <c r="B15" s="1"/>
      <c r="C15" s="1"/>
    </row>
    <row r="16" spans="1:3">
      <c r="A16" s="1"/>
      <c r="B16" s="1"/>
      <c r="C16" s="1"/>
    </row>
  </sheetData>
  <mergeCells count="1">
    <mergeCell ref="A1:C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Übersicht</vt:lpstr>
      <vt:lpstr>Review 7.9</vt:lpstr>
      <vt:lpstr>Eingabe- &amp; Ausgabe</vt:lpstr>
      <vt:lpstr>Maßnahmen</vt:lpstr>
      <vt:lpstr>Anhang A.9</vt:lpstr>
      <vt:lpstr>Legende &amp; Hinweise</vt:lpstr>
      <vt:lpstr>Unterschriften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Julius</dc:creator>
  <cp:lastModifiedBy>Christian Julius</cp:lastModifiedBy>
  <dcterms:created xsi:type="dcterms:W3CDTF">2026-08-05T21:33:41Z</dcterms:created>
  <dcterms:modified xsi:type="dcterms:W3CDTF">2026-08-05T21:41:36Z</dcterms:modified>
</cp:coreProperties>
</file>