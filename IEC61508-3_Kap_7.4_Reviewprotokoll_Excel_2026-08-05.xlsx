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61bbe3be1647cf" /></Relationships>
</file>

<file path=xl/workbook.xml><?xml version="1.0" encoding="utf-8"?>
<x:workbook xmlns:x="http://schemas.openxmlformats.org/spreadsheetml/2006/main">
  <x:sheets>
    <x:sheet xmlns:r="http://schemas.openxmlformats.org/officeDocument/2006/relationships" name="Übersicht" sheetId="1" r:id="Radffa661c5e54b6a"/>
    <x:sheet xmlns:r="http://schemas.openxmlformats.org/officeDocument/2006/relationships" name="Review 7.4" sheetId="2" r:id="Re4cd5d2fd7874bda"/>
    <x:sheet xmlns:r="http://schemas.openxmlformats.org/officeDocument/2006/relationships" name="Eingabe- &amp; Ausgabe" sheetId="3" r:id="R351e293eb1c1474d"/>
    <x:sheet xmlns:r="http://schemas.openxmlformats.org/officeDocument/2006/relationships" name="Maßnahmen" sheetId="4" r:id="R09ffb83d9e8d4cc8"/>
    <x:sheet xmlns:r="http://schemas.openxmlformats.org/officeDocument/2006/relationships" name="Anhang A.2–A.5" sheetId="5" r:id="R83f82d95f61f48e7"/>
    <x:sheet xmlns:r="http://schemas.openxmlformats.org/officeDocument/2006/relationships" name="Legende &amp; Hinweise" sheetId="6" r:id="Rb4129a69d56c4ea5"/>
    <x:sheet xmlns:r="http://schemas.openxmlformats.org/officeDocument/2006/relationships" name="Unterschriften" sheetId="7" r:id="R42cba7cad9a6482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
  </x:numFmts>
  <x:fonts count="11">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
      <x:patternFill patternType="solid">
        <x:fgColor rgb="FFFFFFFF"/>
      </x:patternFill>
    </x:fill>
    <x:fill>
      <x:patternFill patternType="solid">
        <x:fgColor rgb="FFFFF2CC"/>
      </x:patternFill>
    </x:fill>
    <x:fill>
      <x:patternFill patternType="solid">
        <x:fgColor rgb="FFEAF3F8"/>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8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left" vertical="top"/>
    </x:xf>
    <x:xf numFmtId="0" fontId="2" fillId="2" borderId="0" xfId="0" applyNumberFormat="1" applyFont="1" applyFill="1" applyBorder="1" applyAlignment="1">
      <x:alignment horizontal="lef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1" xfId="0" applyNumberFormat="1" applyFont="1" applyFill="1" applyBorder="1" applyAlignment="1">
      <x:alignment vertical="top"/>
    </x:xf>
    <x:xf numFmtId="0" fontId="5" fillId="5" borderId="1" xfId="0" applyNumberFormat="1" applyFont="1" applyFill="1" applyBorder="1" applyAlignment="1">
      <x:alignment vertical="center"/>
    </x:xf>
    <x:xf numFmtId="0" fontId="1" fillId="6" borderId="0" xfId="0" applyNumberFormat="1" applyFont="1" applyFill="1" applyBorder="1" applyAlignment="1">
      <x:alignment vertical="top"/>
    </x:xf>
    <x:xf numFmtId="0" fontId="1" fillId="6" borderId="1" xfId="0" applyNumberFormat="1" applyFont="1" applyFill="1" applyBorder="1" applyAlignment="1">
      <x:alignment vertical="top"/>
    </x:xf>
    <x:xf numFmtId="0" fontId="1" fillId="6" borderId="1" xfId="0" applyNumberFormat="1" applyFont="1" applyFill="1" applyBorder="1" applyAlignment="1">
      <x:alignment vertical="top" wrapText="1"/>
    </x:xf>
    <x:xf numFmtId="200" fontId="1" fillId="6" borderId="1" xfId="0" applyNumberFormat="1" applyFont="1" applyFill="1" applyBorder="1" applyAlignment="1">
      <x:alignment vertical="top" wrapText="1"/>
    </x:xf>
    <x:xf numFmtId="0" fontId="1" fillId="7" borderId="0" xfId="0" applyNumberFormat="1" applyFont="1" applyFill="1" applyBorder="1" applyAlignment="1">
      <x:alignment vertical="top"/>
    </x:xf>
    <x:xf numFmtId="0" fontId="6" fillId="7" borderId="0" xfId="0" applyNumberFormat="1" applyFont="1" applyFill="1" applyBorder="1" applyAlignment="1">
      <x:alignment vertical="top"/>
    </x:xf>
    <x:xf numFmtId="0" fontId="6" fillId="7" borderId="2" xfId="0" applyNumberFormat="1" applyFont="1" applyFill="1" applyBorder="1" applyAlignment="1">
      <x:alignment vertical="top"/>
    </x:xf>
    <x:xf numFmtId="0" fontId="6" fillId="7" borderId="2" xfId="0" applyNumberFormat="1" applyFont="1" applyFill="1" applyBorder="1" applyAlignment="1">
      <x:alignment horizontal="center" vertical="top"/>
    </x:xf>
    <x:xf numFmtId="0" fontId="6" fillId="7" borderId="2" xfId="0" applyNumberFormat="1" applyFont="1" applyFill="1" applyBorder="1" applyAlignment="1">
      <x:alignment horizontal="center" vertical="center"/>
    </x:xf>
    <x:xf numFmtId="0" fontId="7" fillId="5" borderId="0" xfId="0" applyNumberFormat="1" applyFont="1" applyFill="1" applyBorder="1" applyAlignment="1">
      <x:alignment vertical="top"/>
    </x:xf>
    <x:xf numFmtId="0" fontId="7" fillId="5" borderId="1" xfId="0" applyNumberFormat="1" applyFont="1" applyFill="1" applyBorder="1" applyAlignment="1">
      <x:alignment vertical="top"/>
    </x:xf>
    <x:xf numFmtId="0" fontId="7" fillId="5" borderId="1" xfId="0" applyNumberFormat="1" applyFont="1" applyFill="1" applyBorder="1" applyAlignment="1">
      <x:alignment horizontal="center" vertical="top"/>
    </x:xf>
    <x:xf numFmtId="0" fontId="7" fillId="5" borderId="1" xfId="0" applyNumberFormat="1" applyFont="1" applyFill="1" applyBorder="1" applyAlignment="1">
      <x:alignment horizontal="center" vertical="center"/>
    </x:xf>
    <x:xf numFmtId="201" fontId="7" fillId="5" borderId="1" xfId="0" applyNumberFormat="1" applyFont="1" applyFill="1" applyBorder="1" applyAlignment="1">
      <x:alignment horizontal="center" vertical="center"/>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4" borderId="2" xfId="0" applyNumberFormat="1" applyFont="1" applyFill="1" applyBorder="1" applyAlignment="1">
      <x:alignment vertical="top"/>
    </x:xf>
    <x:xf numFmtId="0" fontId="4" fillId="4" borderId="2" xfId="0" applyNumberFormat="1" applyFont="1" applyFill="1" applyBorder="1" applyAlignment="1">
      <x:alignment vertical="center"/>
    </x:xf>
    <x:xf numFmtId="0" fontId="1" fillId="8"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8" fillId="5" borderId="0" xfId="0" applyNumberFormat="1" applyFont="1" applyFill="1" applyBorder="1" applyAlignment="1">
      <x:alignment vertical="top"/>
    </x:xf>
    <x:xf numFmtId="0" fontId="8" fillId="5" borderId="1" xfId="0" applyNumberFormat="1" applyFont="1" applyFill="1" applyBorder="1" applyAlignment="1">
      <x:alignment vertical="top"/>
    </x:xf>
    <x:xf numFmtId="0" fontId="8" fillId="5" borderId="1" xfId="0" applyNumberFormat="1" applyFont="1" applyFill="1" applyBorder="1" applyAlignment="1">
      <x:alignment horizontal="center" vertical="top"/>
    </x:xf>
    <x:xf numFmtId="0" fontId="8" fillId="5" borderId="1" xfId="0" applyNumberFormat="1" applyFont="1" applyFill="1" applyBorder="1" applyAlignment="1">
      <x:alignment horizontal="center" vertical="center"/>
    </x:xf>
    <x:xf numFmtId="0" fontId="1" fillId="8"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0" fontId="1" fillId="9" borderId="0" xfId="0" applyNumberFormat="1" applyFont="1" applyFill="1" applyBorder="1" applyAlignment="1">
      <x:alignment vertical="top"/>
    </x:xf>
    <x:xf numFmtId="0" fontId="10" fillId="9" borderId="0" xfId="0" applyNumberFormat="1" applyFont="1" applyFill="1" applyBorder="1" applyAlignment="1">
      <x:alignment vertical="top"/>
    </x:xf>
    <x:xf numFmtId="0" fontId="1" fillId="10" borderId="1" xfId="0" applyNumberFormat="1" applyFont="1" applyFill="1" applyBorder="1" applyAlignment="1">
      <x:alignment horizontal="center" vertical="top" wrapText="1"/>
    </x:xf>
    <x:xf numFmtId="0" fontId="1" fillId="10" borderId="1" xfId="0" applyNumberFormat="1" applyFont="1" applyFill="1" applyBorder="1" applyAlignment="1">
      <x:alignment vertical="top" wrapText="1"/>
    </x:xf>
    <x:xf numFmtId="0" fontId="1" fillId="10" borderId="0" xfId="0" applyNumberFormat="1" applyFont="1" applyFill="1" applyBorder="1" applyAlignment="1">
      <x:alignment vertical="top"/>
    </x:xf>
    <x:xf numFmtId="0" fontId="0" fillId="10" borderId="0" xfId="0" applyNumberFormat="1" applyFont="1" applyFill="1" applyBorder="1"/>
    <x:xf numFmtId="0" fontId="1" fillId="11" borderId="1" xfId="0" applyNumberFormat="1" applyFont="1" applyFill="1" applyBorder="1" applyAlignment="1">
      <x:alignment vertical="top" wrapText="1"/>
    </x:xf>
    <x:xf numFmtId="0" fontId="1" fillId="11" borderId="0" xfId="0" applyNumberFormat="1" applyFont="1" applyFill="1" applyBorder="1" applyAlignment="1">
      <x:alignment vertical="top"/>
    </x:xf>
    <x:xf numFmtId="0" fontId="0" fillId="11" borderId="0" xfId="0" applyNumberFormat="1" applyFont="1" applyFill="1" applyBorder="1"/>
    <x:xf numFmtId="0" fontId="1" fillId="12" borderId="1" xfId="0" applyNumberFormat="1" applyFont="1" applyFill="1" applyBorder="1" applyAlignment="1">
      <x:alignment vertical="top" wrapText="1"/>
    </x:xf>
    <x:xf numFmtId="0" fontId="1" fillId="12" borderId="0" xfId="0" applyNumberFormat="1" applyFont="1" applyFill="1" applyBorder="1" applyAlignment="1">
      <x:alignment vertical="top"/>
    </x:xf>
    <x:xf numFmtId="0" fontId="0" fillId="12" borderId="0" xfId="0" applyNumberFormat="1" applyFont="1" applyFill="1" applyBorder="1"/>
    <x:xf numFmtId="0" fontId="1" fillId="11" borderId="1" xfId="0" applyNumberFormat="1" applyFont="1" applyFill="1" applyBorder="1" applyAlignment="1">
      <x:alignment horizontal="center" vertical="top" wrapText="1"/>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0" fillId="12" borderId="1" xfId="0" applyNumberFormat="1" applyFont="1" applyFill="1" applyBorder="1" applyAlignment="1">
      <x:alignment vertical="top" wrapText="1"/>
    </x:xf>
    <x:xf numFmtId="0" fontId="0" fillId="10" borderId="1" xfId="0" applyNumberFormat="1" applyFont="1" applyFill="1" applyBorder="1" applyAlignment="1">
      <x:alignment horizontal="center" vertical="top" wrapText="1"/>
    </x:xf>
    <x:xf numFmtId="0" fontId="0" fillId="11"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10" borderId="1" xfId="0" applyNumberFormat="1" applyFont="1" applyFill="1" applyBorder="1" applyAlignment="1">
      <x:alignment horizontal="left" vertical="top" wrapText="1"/>
    </x:xf>
  </x:cellXfs>
  <x:cellStyles count="1">
    <x:cellStyle name="Normal" xfId="0"/>
  </x:cellStyles>
  <x:dxfs count="16">
    <x:dxf>
      <x:font>
        <x:b/>
        <x:color rgb="FF215E21"/>
      </x:font>
      <x:fill>
        <x:patternFill>
          <x:bgColor rgb="FFC6E0B4"/>
        </x:patternFill>
      </x:fill>
    </x:dxf>
    <x:dxf>
      <x:font>
        <x:b/>
        <x:color rgb="FF9C0006"/>
      </x:font>
      <x:fill>
        <x:patternFill>
          <x:bgColor rgb="FFF4CCCC"/>
        </x:patternFill>
      </x:fill>
    </x:dxf>
    <x:dxf>
      <x:font>
        <x:color rgb="FF595959"/>
      </x:font>
      <x:fill>
        <x:patternFill>
          <x:bgColor rgb="FFE7E6E6"/>
        </x:patternFill>
      </x:fill>
    </x:dxf>
    <x:dxf>
      <x:font>
        <x:color rgb="FF17365D"/>
      </x:font>
      <x:fill>
        <x:patternFill>
          <x:bgColor rgb="FFD9EAF7"/>
        </x:patternFill>
      </x:fill>
    </x:dxf>
    <x:dxf>
      <x:font>
        <x:b/>
        <x:color rgb="FF17365D"/>
      </x:font>
      <x:fill>
        <x:patternFill>
          <x:bgColor rgb="FFD9EAF7"/>
        </x:patternFill>
      </x:fill>
    </x:dxf>
    <x:dxf>
      <x:font>
        <x:b/>
        <x:color rgb="FF215E21"/>
      </x:font>
      <x:fill>
        <x:patternFill>
          <x:bgColor rgb="FFC6E0B4"/>
        </x:patternFill>
      </x:fill>
    </x:dxf>
    <x:dxf>
      <x:font>
        <x:b/>
        <x:color rgb="FF5F497A"/>
      </x:font>
      <x:fill>
        <x:patternFill>
          <x:bgColor rgb="FFE4DFEC"/>
        </x:patternFill>
      </x:fill>
    </x:dxf>
    <x:dxf>
      <x:font>
        <x:b/>
        <x:color rgb="FF17365D"/>
      </x:font>
      <x:fill>
        <x:patternFill>
          <x:bgColor rgb="FFD9EAF7"/>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patternType="solid">
          <x:bgColor rgb="FFC6E0B4"/>
        </x:patternFill>
      </x:fill>
    </x:dxf>
    <x:dxf>
      <x:font>
        <x:b/>
        <x:color rgb="FF9C0006"/>
      </x:font>
      <x:fill>
        <x:patternFill patternType="solid">
          <x:bgColor rgb="FFF4CCCC"/>
        </x:patternFill>
      </x:fill>
    </x:dxf>
    <x:dxf>
      <x:font>
        <x:color rgb="FF595959"/>
      </x:font>
      <x:fill>
        <x:patternFill patternType="solid">
          <x:bgColor rgb="FFE7E6E6"/>
        </x:patternFill>
      </x:fill>
    </x:dxf>
    <x:dxf>
      <x:font>
        <x:color rgb="FF17365D"/>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a14b38c2554e7f" /><Relationship Type="http://schemas.openxmlformats.org/officeDocument/2006/relationships/theme" Target="/xl/theme/theme1.xml" Id="Rb59b384b246142d9" /><Relationship Type="http://schemas.openxmlformats.org/officeDocument/2006/relationships/sharedStrings" Target="/xl/sharedStrings.xml" Id="R18ad87a0557e4a21" /><Relationship Type="http://schemas.openxmlformats.org/officeDocument/2006/relationships/worksheet" Target="/xl/worksheets/sheet1.xml" Id="Radffa661c5e54b6a" /><Relationship Type="http://schemas.openxmlformats.org/officeDocument/2006/relationships/worksheet" Target="/xl/worksheets/sheet2.xml" Id="Re4cd5d2fd7874bda" /><Relationship Type="http://schemas.openxmlformats.org/officeDocument/2006/relationships/worksheet" Target="/xl/worksheets/sheet3.xml" Id="R351e293eb1c1474d" /><Relationship Type="http://schemas.openxmlformats.org/officeDocument/2006/relationships/worksheet" Target="/xl/worksheets/sheet4.xml" Id="R09ffb83d9e8d4cc8" /><Relationship Type="http://schemas.openxmlformats.org/officeDocument/2006/relationships/worksheet" Target="/xl/worksheets/sheet5.xml" Id="R83f82d95f61f48e7" /><Relationship Type="http://schemas.openxmlformats.org/officeDocument/2006/relationships/worksheet" Target="/xl/worksheets/sheet6.xml" Id="Rb4129a69d56c4ea5" /><Relationship Type="http://schemas.openxmlformats.org/officeDocument/2006/relationships/worksheet" Target="/xl/worksheets/sheet7.xml" Id="R42cba7cad9a64827" /></Relationships>
</file>

<file path=xl/tables/table1.xml><?xml version="1.0" encoding="utf-8"?>
<x:table xmlns:x="http://schemas.openxmlformats.org/spreadsheetml/2006/main" id="8" name="Reviewpunkte_7_4" displayName="Reviewpunkte_7_4" ref="A7:G64" headerRowCount="1" totalsRowCount="0" totalsRowShown="0">
  <x:autoFilter ref="A7:G64"/>
  <x:tableColumns count="7">
    <x:tableColumn id="1" name="Nr."/>
    <x:tableColumn id="2" name="Normkapitel"/>
    <x:tableColumn id="3" name="Prüffrage / Prüfkriterium"/>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9" name="Dokumentenregister_7_4" displayName="Dokumentenregister_7_4" ref="A7:K33" headerRowCount="1" totalsRowCount="0" totalsRowShown="0">
  <x:autoFilter ref="A7:K33"/>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headerRowCount="1" totalsRowCount="0"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10" name="Anhang_7_4" displayName="Anhang_7_4" ref="A5:H58" headerRowCount="1" totalsRowCount="0" totalsRowShown="0">
  <x:autoFilter ref="A5:H58"/>
  <x:tableColumns count="8">
    <x:tableColumn id="1" name="Nr."/>
    <x:tableColumn id="2" name="Verfahren / Maßnahme"/>
    <x:tableColumn id="3" name="Siehe"/>
    <x:tableColumn id="4" name="SIL 1"/>
    <x:tableColumn id="5" name="SIL 2"/>
    <x:tableColumn id="6" name="SIL 3"/>
    <x:tableColumn id="7" name="Erläuterung"/>
    <x:tableColumn id="8" name="Normreferenz"/>
  </x:tableColumns>
  <x:tableStyleInfo name="TableStyleMedium2" showFirstColumn="0" showLastColumn="0" showRowStripes="1" showColumnStripes="0"/>
</x:table>
</file>

<file path=xl/tables/table5.xml><?xml version="1.0" encoding="utf-8"?>
<x:table xmlns:x="http://schemas.openxmlformats.org/spreadsheetml/2006/main" id="5" name="Empfehlungslegende" displayName="Empfehlungslegende" ref="A5:D9" headerRowCount="1" totalsRowCount="0"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6.xml><?xml version="1.0" encoding="utf-8"?>
<x:table xmlns:x="http://schemas.openxmlformats.org/spreadsheetml/2006/main" id="6" name="Arbeitsweise" displayName="Arbeitsweise" ref="A12:D19" headerRowCount="1" totalsRowCount="0"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7.xml><?xml version="1.0" encoding="utf-8"?>
<x:table xmlns:x="http://schemas.openxmlformats.org/spreadsheetml/2006/main" id="7" name="ReviewUnterschriften" displayName="ReviewUnterschriften" ref="A4:C11" headerRowCount="1" totalsRowCount="0"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33eb53f7814923" /></Relationships>
</file>

<file path=xl/worksheets/_rels/sheet3.xml.rels>&#65279;<?xml version="1.0" encoding="utf-8"?><Relationships xmlns="http://schemas.openxmlformats.org/package/2006/relationships"><Relationship Type="http://schemas.openxmlformats.org/officeDocument/2006/relationships/table" Target="/xl/tables/table2.xml" Id="R0cff8595e2a740f0" /></Relationships>
</file>

<file path=xl/worksheets/_rels/sheet4.xml.rels>&#65279;<?xml version="1.0" encoding="utf-8"?><Relationships xmlns="http://schemas.openxmlformats.org/package/2006/relationships"><Relationship Type="http://schemas.openxmlformats.org/officeDocument/2006/relationships/table" Target="/xl/tables/table3.xml" Id="R1895c75dd896409c" /></Relationships>
</file>

<file path=xl/worksheets/_rels/sheet5.xml.rels>&#65279;<?xml version="1.0" encoding="utf-8"?><Relationships xmlns="http://schemas.openxmlformats.org/package/2006/relationships"><Relationship Type="http://schemas.openxmlformats.org/officeDocument/2006/relationships/table" Target="/xl/tables/table4.xml" Id="Rf90130a18f484518" /></Relationships>
</file>

<file path=xl/worksheets/_rels/sheet6.xml.rels>&#65279;<?xml version="1.0" encoding="utf-8"?><Relationships xmlns="http://schemas.openxmlformats.org/package/2006/relationships"><Relationship Type="http://schemas.openxmlformats.org/officeDocument/2006/relationships/table" Target="/xl/tables/table5.xml" Id="R9c66037750a2456c" /><Relationship Type="http://schemas.openxmlformats.org/officeDocument/2006/relationships/table" Target="/xl/tables/table6.xml" Id="R4a9bd680cbca40d8" /></Relationships>
</file>

<file path=xl/worksheets/_rels/sheet7.xml.rels>&#65279;<?xml version="1.0" encoding="utf-8"?><Relationships xmlns="http://schemas.openxmlformats.org/package/2006/relationships"><Relationship Type="http://schemas.openxmlformats.org/officeDocument/2006/relationships/table" Target="/xl/tables/table7.xml" Id="R312471c632214f1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9" hidden="0" customWidth="1"/>
    <x:col min="6" max="6" width="14" hidden="0" customWidth="1"/>
    <x:col min="7" max="7" width="14" hidden="0" customWidth="1"/>
    <x:col min="8" max="8" width="14" hidden="0" customWidth="1"/>
  </x:cols>
  <x:sheetData>
    <x:row r="1" ht="34" customHeight="1">
      <x:c r="A1" s="6" t="str">
        <x:v>Reviewprotokoll IEC 61508-3 – Kapitel 7.4 Softwareentwurf und Entwicklung</x:v>
      </x:c>
      <x:c r="B1" s="6" t="str">
        <x:v>Reviewprotokoll IEC 61508-3 – Kapitel 7.4 Softwareentwurf und Entwicklung</x:v>
      </x:c>
      <x:c r="C1" s="6" t="str">
        <x:v>Reviewprotokoll IEC 61508-3 – Kapitel 7.4 Softwareentwurf und Entwicklung</x:v>
      </x:c>
      <x:c r="D1" s="6" t="str">
        <x:v>Reviewprotokoll IEC 61508-3 – Kapitel 7.4 Softwareentwurf und Entwicklung</x:v>
      </x:c>
      <x:c r="E1" s="6" t="str">
        <x:v>Reviewprotokoll IEC 61508-3 – Kapitel 7.4 Softwareentwurf und Entwicklung</x:v>
      </x:c>
      <x:c r="F1" s="6" t="str">
        <x:v>Reviewprotokoll IEC 61508-3 – Kapitel 7.4 Softwareentwurf und Entwicklung</x:v>
      </x:c>
      <x:c r="G1" s="6" t="str">
        <x:v>Reviewprotokoll IEC 61508-3 – Kapitel 7.4 Softwareentwurf und Entwicklung</x:v>
      </x:c>
      <x:c r="H1" s="6" t="str">
        <x:v>Reviewprotokoll IEC 61508-3 – Kapitel 7.4 Softwareentwurf und Entwicklung</x:v>
      </x:c>
    </x:row>
    <x:row r="2" ht="34" customHeight="1">
      <x:c r="A2" s="6" t="str">
        <x:v>Reviewprotokoll IEC 61508-3 – Kapitel 7.4 Softwareentwurf und Entwicklung</x:v>
      </x:c>
      <x:c r="B2" s="6" t="str">
        <x:v>Reviewprotokoll IEC 61508-3 – Kapitel 7.4 Softwareentwurf und Entwicklung</x:v>
      </x:c>
      <x:c r="C2" s="6" t="str">
        <x:v>Reviewprotokoll IEC 61508-3 – Kapitel 7.4 Softwareentwurf und Entwicklung</x:v>
      </x:c>
      <x:c r="D2" s="6" t="str">
        <x:v>Reviewprotokoll IEC 61508-3 – Kapitel 7.4 Softwareentwurf und Entwicklung</x:v>
      </x:c>
      <x:c r="E2" s="6" t="str">
        <x:v>Reviewprotokoll IEC 61508-3 – Kapitel 7.4 Softwareentwurf und Entwicklung</x:v>
      </x:c>
      <x:c r="F2" s="6" t="str">
        <x:v>Reviewprotokoll IEC 61508-3 – Kapitel 7.4 Softwareentwurf und Entwicklung</x:v>
      </x:c>
      <x:c r="G2" s="6" t="str">
        <x:v>Reviewprotokoll IEC 61508-3 – Kapitel 7.4 Softwareentwurf und Entwicklung</x:v>
      </x:c>
      <x:c r="H2" s="6" t="str">
        <x:v>Reviewprotokoll IEC 61508-3 – Kapitel 7.4 Softwareentwurf und Entwicklung</x:v>
      </x:c>
    </x:row>
    <x:row r="3">
      <x:c r="A3" s="9" t="str">
        <x:v>Strukturierte Arbeitsmappe für SIL 1 bis SIL 3 · Eingabefelder sind gelb markiert</x:v>
      </x:c>
      <x:c r="B3" s="9"/>
      <x:c r="C3" s="9"/>
      <x:c r="D3" s="9"/>
      <x:c r="E3" s="9"/>
      <x:c r="F3" s="9"/>
      <x:c r="G3" s="9"/>
      <x:c r="H3" s="9"/>
    </x:row>
    <x:row r="4">
      <x:c r="A4" s="2"/>
      <x:c r="B4" s="2"/>
      <x:c r="C4" s="2"/>
      <x:c r="D4" s="2"/>
      <x:c r="E4" s="2"/>
      <x:c r="F4" s="2"/>
      <x:c r="G4" s="2"/>
      <x:c r="H4" s="2"/>
    </x:row>
    <x:row r="5" ht="24" customHeight="1">
      <x:c r="A5" s="12" t="str">
        <x:v>Reviewdaten</x:v>
      </x:c>
      <x:c r="B5" s="12" t="str">
        <x:v>Reviewdaten</x:v>
      </x:c>
      <x:c r="C5" s="12" t="str">
        <x:v>Reviewdaten</x:v>
      </x:c>
      <x:c r="D5" s="12" t="str">
        <x:v>Reviewdaten</x:v>
      </x:c>
      <x:c r="E5" s="12" t="str">
        <x:v>Reviewdaten</x:v>
      </x:c>
      <x:c r="F5" s="12" t="str">
        <x:v>Reviewdaten</x:v>
      </x:c>
      <x:c r="G5" s="12" t="str">
        <x:v>Reviewdaten</x:v>
      </x:c>
      <x:c r="H5" s="12" t="str">
        <x:v>Reviewdaten</x:v>
      </x:c>
    </x:row>
    <x:row r="6">
      <x:c r="A6" s="16" t="str">
        <x:v>Projekt / Teilprojekt</x:v>
      </x:c>
      <x:c r="B6" s="19" t="str"/>
      <x:c r="C6" s="19" t="str"/>
      <x:c r="D6" s="19" t="str"/>
      <x:c r="E6" s="16" t="str">
        <x:v>Review-Gegenstand</x:v>
      </x:c>
      <x:c r="F6" s="19" t="str"/>
      <x:c r="G6" s="19" t="str"/>
      <x:c r="H6" s="19" t="str"/>
    </x:row>
    <x:row r="7">
      <x:c r="A7" s="16" t="str">
        <x:v>Dokument / Referenz</x:v>
      </x:c>
      <x:c r="B7" s="19" t="str"/>
      <x:c r="C7" s="19" t="str"/>
      <x:c r="D7" s="19" t="str"/>
      <x:c r="E7" s="16" t="str">
        <x:v>Index</x:v>
      </x:c>
      <x:c r="F7" s="19" t="str"/>
      <x:c r="G7" s="19" t="str"/>
      <x:c r="H7" s="19" t="str"/>
    </x:row>
    <x:row r="8">
      <x:c r="A8" s="16" t="str">
        <x:v>SIL</x:v>
      </x:c>
      <x:c r="B8" s="19" t="str"/>
      <x:c r="C8" s="19" t="str"/>
      <x:c r="D8" s="19" t="str"/>
      <x:c r="E8" s="16" t="str">
        <x:v>Checkliste</x:v>
      </x:c>
      <x:c r="F8" s="19" t="str">
        <x:v>IEC 61508-3: Kapitel 7.4 Softwareentwurf und Entwicklung</x:v>
      </x:c>
      <x:c r="G8" s="19" t="str">
        <x:v>IEC 61508-3: Kapitel 7.4 Softwareentwurf und Entwicklung</x:v>
      </x:c>
      <x:c r="H8" s="19" t="str">
        <x:v>IEC 61508-3: Kapitel 7.4 Softwareentwurf und Entwicklung</x:v>
      </x:c>
    </x:row>
    <x:row r="9">
      <x:c r="A9" s="16" t="str">
        <x:v>Ort</x:v>
      </x:c>
      <x:c r="B9" s="19" t="str"/>
      <x:c r="C9" s="19" t="str"/>
      <x:c r="D9" s="19" t="str"/>
      <x:c r="E9" s="16" t="str">
        <x:v>Datum / Zeitraum</x:v>
      </x:c>
      <x:c r="F9" s="20" t="str"/>
      <x:c r="G9" s="20" t="str"/>
      <x:c r="H9" s="20" t="str"/>
    </x:row>
    <x:row r="10">
      <x:c r="A10" s="16" t="str">
        <x:v>Reviewleitung</x:v>
      </x:c>
      <x:c r="B10" s="19" t="str"/>
      <x:c r="C10" s="19" t="str"/>
      <x:c r="D10" s="19" t="str"/>
      <x:c r="E10" s="16" t="str">
        <x:v>Protokollführung</x:v>
      </x:c>
      <x:c r="F10" s="19" t="str"/>
      <x:c r="G10" s="19" t="str"/>
      <x:c r="H10" s="19" t="str"/>
    </x:row>
    <x:row r="11">
      <x:c r="A11" s="2"/>
      <x:c r="B11" s="2"/>
      <x:c r="C11" s="2"/>
      <x:c r="D11" s="2"/>
      <x:c r="E11" s="2"/>
      <x:c r="F11" s="2"/>
      <x:c r="G11" s="2"/>
      <x:c r="H11" s="2"/>
    </x:row>
    <x:row r="12" ht="24" customHeight="1">
      <x:c r="A12" s="12" t="str">
        <x:v>Teilnehmer</x:v>
      </x:c>
      <x:c r="B12" s="12" t="str">
        <x:v>Teilnehmer</x:v>
      </x:c>
      <x:c r="C12" s="12" t="str">
        <x:v>Teilnehmer</x:v>
      </x:c>
      <x:c r="D12" s="12" t="str">
        <x:v>Teilnehmer</x:v>
      </x:c>
      <x:c r="E12" s="12" t="str">
        <x:v>Teilnehmer</x:v>
      </x:c>
      <x:c r="F12" s="12" t="str">
        <x:v>Teilnehmer</x:v>
      </x:c>
      <x:c r="G12" s="12" t="str">
        <x:v>Teilnehmer</x:v>
      </x:c>
      <x:c r="H12" s="12" t="str">
        <x:v>Teilnehmer</x:v>
      </x:c>
    </x:row>
    <x:row r="13">
      <x:c r="A13" s="16" t="str">
        <x:v>Teilnehmer 1</x:v>
      </x:c>
      <x:c r="B13" s="19" t="str"/>
      <x:c r="C13" s="19" t="str"/>
      <x:c r="D13" s="19" t="str"/>
      <x:c r="E13" s="19" t="str"/>
      <x:c r="F13" s="19" t="str"/>
      <x:c r="G13" s="19" t="str"/>
      <x:c r="H13" s="19" t="str"/>
    </x:row>
    <x:row r="14">
      <x:c r="A14" s="16" t="str">
        <x:v>Teilnehmer 2</x:v>
      </x:c>
      <x:c r="B14" s="19" t="str"/>
      <x:c r="C14" s="19" t="str"/>
      <x:c r="D14" s="19" t="str"/>
      <x:c r="E14" s="19" t="str"/>
      <x:c r="F14" s="19" t="str"/>
      <x:c r="G14" s="19" t="str"/>
      <x:c r="H14" s="19" t="str"/>
    </x:row>
    <x:row r="15">
      <x:c r="A15" s="16" t="str">
        <x:v>Teilnehmer 3</x:v>
      </x:c>
      <x:c r="B15" s="19" t="str"/>
      <x:c r="C15" s="19" t="str"/>
      <x:c r="D15" s="19" t="str"/>
      <x:c r="E15" s="19" t="str"/>
      <x:c r="F15" s="19" t="str"/>
      <x:c r="G15" s="19" t="str"/>
      <x:c r="H15" s="19" t="str"/>
    </x:row>
    <x:row r="16">
      <x:c r="A16" s="16" t="str">
        <x:v>Teilnehmer 4</x:v>
      </x:c>
      <x:c r="B16" s="19" t="str"/>
      <x:c r="C16" s="19" t="str"/>
      <x:c r="D16" s="19" t="str"/>
      <x:c r="E16" s="19" t="str"/>
      <x:c r="F16" s="19" t="str"/>
      <x:c r="G16" s="19" t="str"/>
      <x:c r="H16" s="19" t="str"/>
    </x:row>
    <x:row r="17">
      <x:c r="A17" s="2"/>
      <x:c r="B17" s="2"/>
      <x:c r="C17" s="2"/>
      <x:c r="D17" s="2"/>
      <x:c r="E17" s="2"/>
      <x:c r="F17" s="2"/>
      <x:c r="G17" s="2"/>
      <x:c r="H17" s="2"/>
    </x:row>
    <x:row r="18" ht="24" customHeight="1">
      <x:c r="A18" s="12" t="str">
        <x:v>Fortschritt und Review-Ergebnis</x:v>
      </x:c>
      <x:c r="B18" s="12" t="str">
        <x:v>Fortschritt und Review-Ergebnis</x:v>
      </x:c>
      <x:c r="C18" s="12" t="str">
        <x:v>Fortschritt und Review-Ergebnis</x:v>
      </x:c>
      <x:c r="D18" s="12" t="str">
        <x:v>Fortschritt und Review-Ergebnis</x:v>
      </x:c>
      <x:c r="E18" s="12" t="str">
        <x:v>Fortschritt und Review-Ergebnis</x:v>
      </x:c>
      <x:c r="F18" s="12" t="str">
        <x:v>Fortschritt und Review-Ergebnis</x:v>
      </x:c>
      <x:c r="G18" s="12" t="str">
        <x:v>Fortschritt und Review-Ergebnis</x:v>
      </x:c>
      <x:c r="H18" s="12" t="str">
        <x:v>Fortschritt und Review-Ergebnis</x:v>
      </x:c>
    </x:row>
    <x:row r="19">
      <x:c r="A19" s="25" t="str">
        <x:v>Prüfpunkte</x:v>
      </x:c>
      <x:c r="B19" s="25" t="str"/>
      <x:c r="C19" s="25" t="str">
        <x:v>OK</x:v>
      </x:c>
      <x:c r="D19" s="25" t="str"/>
      <x:c r="E19" s="25" t="str">
        <x:v>Nicht OK</x:v>
      </x:c>
      <x:c r="F19" s="25" t="str"/>
      <x:c r="G19" s="25" t="str">
        <x:v>Nicht geprüft</x:v>
      </x:c>
      <x:c r="H19" s="25" t="str">
        <x:v>Abschluss</x:v>
      </x:c>
    </x:row>
    <x:row r="20">
      <x:c r="A20" s="29" t="n">
        <x:f>COUNTA('Review 7.4'!B8:B64)</x:f>
        <x:v>57</x:v>
      </x:c>
      <x:c r="B20" s="29"/>
      <x:c r="C20" s="29" t="n">
        <x:f>COUNTIF('Review 7.4'!G8:G64,"OK")</x:f>
        <x:v>0</x:v>
      </x:c>
      <x:c r="D20" s="29"/>
      <x:c r="E20" s="29" t="n">
        <x:f>COUNTIF('Review 7.4'!G8:G64,"Nicht OK")</x:f>
        <x:v>0</x:v>
      </x:c>
      <x:c r="F20" s="29"/>
      <x:c r="G20" s="29" t="n">
        <x:f>COUNTIF('Review 7.4'!G8:G64,"Nicht geprüft")</x:f>
        <x:v>57</x:v>
      </x:c>
      <x:c r="H20" s="30" t="n">
        <x:f>IF(A20=0,0,(C20+COUNTIF('Review 7.4'!G8:G64,"n. a."))/A20)</x:f>
        <x:v>0</x:v>
      </x:c>
    </x:row>
    <x:row r="21">
      <x:c r="A21" s="2"/>
      <x:c r="B21" s="2"/>
      <x:c r="C21" s="2"/>
      <x:c r="D21" s="2"/>
      <x:c r="E21" s="2"/>
      <x:c r="F21" s="2"/>
      <x:c r="G21" s="2"/>
      <x:c r="H21" s="2"/>
    </x:row>
    <x:row r="22">
      <x:c r="A22" s="16" t="str">
        <x:v>Gesamtergebnis</x:v>
      </x:c>
      <x:c r="B22" s="19" t="str"/>
      <x:c r="C22" s="19" t="str"/>
      <x:c r="D22" s="19" t="str"/>
      <x:c r="E22" s="19" t="str"/>
      <x:c r="F22" s="19" t="str"/>
      <x:c r="G22" s="19" t="str"/>
      <x:c r="H22" s="19" t="str"/>
    </x:row>
    <x:row r="23" ht="28" customHeight="1">
      <x:c r="A23" s="16" t="str">
        <x:v>Ergebnis / Begründung</x:v>
      </x:c>
      <x:c r="B23" s="19" t="str"/>
      <x:c r="C23" s="19" t="str"/>
      <x:c r="D23" s="19" t="str"/>
      <x:c r="E23" s="19" t="str"/>
      <x:c r="F23" s="19" t="str"/>
      <x:c r="G23" s="19" t="str"/>
      <x:c r="H23" s="19" t="str"/>
    </x:row>
    <x:row r="24" ht="28" customHeight="1">
      <x:c r="A24" s="2"/>
      <x:c r="B24" s="19" t="str"/>
      <x:c r="C24" s="19" t="str"/>
      <x:c r="D24" s="19" t="str"/>
      <x:c r="E24" s="19" t="str"/>
      <x:c r="F24" s="19" t="str"/>
      <x:c r="G24" s="19" t="str"/>
      <x:c r="H24" s="19" t="str"/>
    </x:row>
    <x:row r="25" ht="28" customHeight="1">
      <x:c r="A25" s="2"/>
      <x:c r="B25" s="19" t="str"/>
      <x:c r="C25" s="19" t="str"/>
      <x:c r="D25" s="19" t="str"/>
      <x:c r="E25" s="19" t="str"/>
      <x:c r="F25" s="19" t="str"/>
      <x:c r="G25" s="19" t="str"/>
      <x:c r="H25" s="19" t="str"/>
    </x:row>
    <x:row r="26">
      <x:c r="A26" s="2"/>
      <x:c r="B26" s="2"/>
      <x:c r="C26" s="2"/>
      <x:c r="D26" s="2"/>
      <x:c r="E26" s="2"/>
      <x:c r="F26" s="2"/>
      <x:c r="G26" s="2"/>
      <x:c r="H26" s="2"/>
    </x:row>
    <x:row r="27" ht="26" customHeight="1">
      <x:c r="A27" s="16" t="str">
        <x:v>Zusammenfassung</x:v>
      </x:c>
      <x:c r="B27" s="19" t="str">
        <x:v>Das Dokument wurde auf konzeptionelle Fehler, inhaltliche Fehler und auf Konformität zu den Anforderungen der IEC 61508 geprüft.</x:v>
      </x:c>
      <x:c r="C27" s="19" t="str">
        <x:v>Das Dokument wurde auf konzeptionelle Fehler, inhaltliche Fehler und auf Konformität zu den Anforderungen der IEC 61508 geprüft.</x:v>
      </x:c>
      <x:c r="D27" s="19" t="str">
        <x:v>Das Dokument wurde auf konzeptionelle Fehler, inhaltliche Fehler und auf Konformität zu den Anforderungen der IEC 61508 geprüft.</x:v>
      </x:c>
      <x:c r="E27" s="19" t="str">
        <x:v>Das Dokument wurde auf konzeptionelle Fehler, inhaltliche Fehler und auf Konformität zu den Anforderungen der IEC 61508 geprüft.</x:v>
      </x:c>
      <x:c r="F27" s="19" t="str">
        <x:v>Das Dokument wurde auf konzeptionelle Fehler, inhaltliche Fehler und auf Konformität zu den Anforderungen der IEC 61508 geprüft.</x:v>
      </x:c>
      <x:c r="G27" s="19" t="str">
        <x:v>Das Dokument wurde auf konzeptionelle Fehler, inhaltliche Fehler und auf Konformität zu den Anforderungen der IEC 61508 geprüft.</x:v>
      </x:c>
      <x:c r="H27" s="19" t="str">
        <x:v>Das Dokument wurde auf konzeptionelle Fehler, inhaltliche Fehler und auf Konformität zu den Anforderungen der IEC 61508 geprüft.</x:v>
      </x:c>
    </x:row>
    <x:row r="28" ht="26" customHeight="1">
      <x:c r="A28" s="2"/>
      <x:c r="B28" s="19" t="str">
        <x:v>Das Dokument wurde auf konzeptionelle Fehler, inhaltliche Fehler und auf Konformität zu den Anforderungen der IEC 61508 geprüft.</x:v>
      </x:c>
      <x:c r="C28" s="19" t="str">
        <x:v>Das Dokument wurde auf konzeptionelle Fehler, inhaltliche Fehler und auf Konformität zu den Anforderungen der IEC 61508 geprüft.</x:v>
      </x:c>
      <x:c r="D28" s="19" t="str">
        <x:v>Das Dokument wurde auf konzeptionelle Fehler, inhaltliche Fehler und auf Konformität zu den Anforderungen der IEC 61508 geprüft.</x:v>
      </x:c>
      <x:c r="E28" s="19" t="str">
        <x:v>Das Dokument wurde auf konzeptionelle Fehler, inhaltliche Fehler und auf Konformität zu den Anforderungen der IEC 61508 geprüft.</x:v>
      </x:c>
      <x:c r="F28" s="19" t="str">
        <x:v>Das Dokument wurde auf konzeptionelle Fehler, inhaltliche Fehler und auf Konformität zu den Anforderungen der IEC 61508 geprüft.</x:v>
      </x:c>
      <x:c r="G28" s="19" t="str">
        <x:v>Das Dokument wurde auf konzeptionelle Fehler, inhaltliche Fehler und auf Konformität zu den Anforderungen der IEC 61508 geprüft.</x:v>
      </x:c>
      <x:c r="H28" s="19" t="str">
        <x:v>Das Dokument wurde auf konzeptionelle Fehler, inhaltliche Fehler und auf Konformität zu den Anforderungen der IEC 61508 geprüft.</x:v>
      </x:c>
    </x:row>
    <x:row r="29" ht="26" customHeight="1">
      <x:c r="A29" s="2"/>
      <x:c r="B29" s="19" t="str">
        <x:v>Das Dokument wurde auf konzeptionelle Fehler, inhaltliche Fehler und auf Konformität zu den Anforderungen der IEC 61508 geprüft.</x:v>
      </x:c>
      <x:c r="C29" s="19" t="str">
        <x:v>Das Dokument wurde auf konzeptionelle Fehler, inhaltliche Fehler und auf Konformität zu den Anforderungen der IEC 61508 geprüft.</x:v>
      </x:c>
      <x:c r="D29" s="19" t="str">
        <x:v>Das Dokument wurde auf konzeptionelle Fehler, inhaltliche Fehler und auf Konformität zu den Anforderungen der IEC 61508 geprüft.</x:v>
      </x:c>
      <x:c r="E29" s="19" t="str">
        <x:v>Das Dokument wurde auf konzeptionelle Fehler, inhaltliche Fehler und auf Konformität zu den Anforderungen der IEC 61508 geprüft.</x:v>
      </x:c>
      <x:c r="F29" s="19" t="str">
        <x:v>Das Dokument wurde auf konzeptionelle Fehler, inhaltliche Fehler und auf Konformität zu den Anforderungen der IEC 61508 geprüft.</x:v>
      </x:c>
      <x:c r="G29" s="19" t="str">
        <x:v>Das Dokument wurde auf konzeptionelle Fehler, inhaltliche Fehler und auf Konformität zu den Anforderungen der IEC 61508 geprüft.</x:v>
      </x:c>
      <x:c r="H29" s="19" t="str">
        <x:v>Das Dokument wurde auf konzeptionelle Fehler, inhaltliche Fehler und auf Konformität zu den Anforderungen der IEC 61508 geprüft.</x:v>
      </x:c>
    </x:row>
    <x:row r="30" ht="26" customHeight="1">
      <x:c r="A30" s="2"/>
      <x:c r="B30" s="19" t="str">
        <x:v>Das Dokument wurde auf konzeptionelle Fehler, inhaltliche Fehler und auf Konformität zu den Anforderungen der IEC 61508 geprüft.</x:v>
      </x:c>
      <x:c r="C30" s="19" t="str">
        <x:v>Das Dokument wurde auf konzeptionelle Fehler, inhaltliche Fehler und auf Konformität zu den Anforderungen der IEC 61508 geprüft.</x:v>
      </x:c>
      <x:c r="D30" s="19" t="str">
        <x:v>Das Dokument wurde auf konzeptionelle Fehler, inhaltliche Fehler und auf Konformität zu den Anforderungen der IEC 61508 geprüft.</x:v>
      </x:c>
      <x:c r="E30" s="19" t="str">
        <x:v>Das Dokument wurde auf konzeptionelle Fehler, inhaltliche Fehler und auf Konformität zu den Anforderungen der IEC 61508 geprüft.</x:v>
      </x:c>
      <x:c r="F30" s="19" t="str">
        <x:v>Das Dokument wurde auf konzeptionelle Fehler, inhaltliche Fehler und auf Konformität zu den Anforderungen der IEC 61508 geprüft.</x:v>
      </x:c>
      <x:c r="G30" s="19" t="str">
        <x:v>Das Dokument wurde auf konzeptionelle Fehler, inhaltliche Fehler und auf Konformität zu den Anforderungen der IEC 61508 geprüft.</x:v>
      </x:c>
      <x:c r="H30" s="19" t="str">
        <x:v>Das Dokument wurde auf konzeptionelle Fehler, inhaltliche Fehler und auf Konformität zu den Anforderungen der IEC 61508 geprüft.</x:v>
      </x:c>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sheetData>
  <x:mergeCells>
    <x:mergeCell ref="A1:H2"/>
    <x:mergeCell ref="A3:H3"/>
    <x:mergeCell ref="A5:H5"/>
    <x:mergeCell ref="B6:D6"/>
    <x:mergeCell ref="F6:H6"/>
    <x:mergeCell ref="B7:D7"/>
    <x:mergeCell ref="F7:H7"/>
    <x:mergeCell ref="B8:D8"/>
    <x:mergeCell ref="F8:H8"/>
    <x:mergeCell ref="B9:D9"/>
    <x:mergeCell ref="F9:H9"/>
    <x:mergeCell ref="B10:D10"/>
    <x:mergeCell ref="F10:H10"/>
    <x:mergeCell ref="A12:H12"/>
    <x:mergeCell ref="B13:H13"/>
    <x:mergeCell ref="B14:H14"/>
    <x:mergeCell ref="B15:H15"/>
    <x:mergeCell ref="B16:H16"/>
    <x:mergeCell ref="A18:H18"/>
    <x:mergeCell ref="B22:H22"/>
    <x:mergeCell ref="B23:H25"/>
    <x:mergeCell ref="B27:H30"/>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72" hidden="0" customWidth="1"/>
    <x:col min="4" max="4" width="34" hidden="0" customWidth="1"/>
    <x:col min="5" max="5" width="34" hidden="0" customWidth="1"/>
    <x:col min="6" max="6" width="25" hidden="0" customWidth="1"/>
    <x:col min="7" max="7" width="17" hidden="0" customWidth="1"/>
  </x:cols>
  <x:sheetData>
    <x:row r="1" ht="34" customHeight="1">
      <x:c r="A1" s="6" t="str">
        <x:v>Checkliste – IEC 61508-3, Kapitel 7.4</x:v>
      </x:c>
      <x:c r="B1" s="6" t="str">
        <x:v>Checkliste – IEC 61508-3, Kapitel 7.4</x:v>
      </x:c>
      <x:c r="C1" s="6" t="str">
        <x:v>Checkliste – IEC 61508-3, Kapitel 7.4</x:v>
      </x:c>
      <x:c r="D1" s="6" t="str">
        <x:v>Checkliste – IEC 61508-3, Kapitel 7.4</x:v>
      </x:c>
      <x:c r="E1" s="6" t="str">
        <x:v>Checkliste – IEC 61508-3, Kapitel 7.4</x:v>
      </x:c>
      <x:c r="F1" s="6" t="str">
        <x:v>Checkliste – IEC 61508-3, Kapitel 7.4</x:v>
      </x:c>
      <x:c r="G1" s="6" t="str">
        <x:v>Checkliste – IEC 61508-3, Kapitel 7.4</x:v>
      </x:c>
    </x:row>
    <x:row r="2" ht="34" customHeight="1">
      <x:c r="A2" s="6" t="str">
        <x:v>Checkliste – IEC 61508-3, Kapitel 7.4</x:v>
      </x:c>
      <x:c r="B2" s="6" t="str">
        <x:v>Checkliste – IEC 61508-3, Kapitel 7.4</x:v>
      </x:c>
      <x:c r="C2" s="6" t="str">
        <x:v>Checkliste – IEC 61508-3, Kapitel 7.4</x:v>
      </x:c>
      <x:c r="D2" s="6" t="str">
        <x:v>Checkliste – IEC 61508-3, Kapitel 7.4</x:v>
      </x:c>
      <x:c r="E2" s="6" t="str">
        <x:v>Checkliste – IEC 61508-3, Kapitel 7.4</x:v>
      </x:c>
      <x:c r="F2" s="6" t="str">
        <x:v>Checkliste – IEC 61508-3, Kapitel 7.4</x:v>
      </x:c>
      <x:c r="G2" s="6" t="str">
        <x:v>Checkliste – IEC 61508-3, Kapitel 7.4</x:v>
      </x:c>
    </x:row>
    <x:row r="3">
      <x:c r="A3" s="32" t="str">
        <x:v>Prüfergebnis: konkrete Bewertung des Prüfpunkts. Kommentar / Nachweis: Begründung, Referenz auf Nachweise oder offene Punkte.</x:v>
      </x:c>
      <x:c r="B3" s="32"/>
      <x:c r="C3" s="32"/>
      <x:c r="D3" s="32"/>
      <x:c r="E3" s="32"/>
      <x:c r="F3" s="32"/>
      <x:c r="G3" s="32"/>
    </x:row>
    <x:row r="4">
      <x:c r="A4" s="2"/>
      <x:c r="B4" s="2"/>
      <x:c r="C4" s="2"/>
      <x:c r="D4" s="2"/>
      <x:c r="E4" s="2"/>
      <x:c r="F4" s="2"/>
      <x:c r="G4" s="2"/>
    </x:row>
    <x:row r="5">
      <x:c r="A5" s="34" t="str">
        <x:v>Kapitel 7.4</x:v>
      </x:c>
      <x:c r="B5" s="34" t="str">
        <x:v>Softwareentwurf und Entwicklung</x:v>
      </x:c>
      <x:c r="C5" s="34" t="str">
        <x:v>57 Prüfpunkte</x:v>
      </x:c>
      <x:c r="D5" s="34" t="str"/>
      <x:c r="E5" s="34" t="str"/>
      <x:c r="F5" s="34" t="str">
        <x:v>Dokumentenbezug</x:v>
      </x:c>
      <x:c r="G5" s="34" t="str">
        <x:v>Status / OK</x:v>
      </x:c>
    </x:row>
    <x:row r="6">
      <x:c r="A6" s="2"/>
      <x:c r="B6" s="2"/>
      <x:c r="C6" s="2"/>
      <x:c r="D6" s="2"/>
      <x:c r="E6" s="2"/>
      <x:c r="F6" s="2"/>
      <x:c r="G6" s="2"/>
    </x:row>
    <x:row r="7">
      <x:c r="A7" s="40" t="str">
        <x:v>Nr.</x:v>
      </x:c>
      <x:c r="B7" s="40" t="str">
        <x:v>Normkapitel</x:v>
      </x:c>
      <x:c r="C7" s="40" t="str">
        <x:v>Prüffrage / Prüfkriterium</x:v>
      </x:c>
      <x:c r="D7" s="40" t="str">
        <x:v>Prüfergebnis</x:v>
      </x:c>
      <x:c r="E7" s="40" t="str">
        <x:v>Kommentar / Nachweis</x:v>
      </x:c>
      <x:c r="F7" s="40" t="str">
        <x:v>E/A-Dokumente (IDs)</x:v>
      </x:c>
      <x:c r="G7" s="40" t="str">
        <x:v>Status / OK</x:v>
      </x:c>
    </x:row>
    <x:row r="8" ht="72" customHeight="1">
      <x:c r="A8" s="54" t="str">
        <x:v>Z1</x:v>
      </x:c>
      <x:c r="B8" s="54" t="str">
        <x:v>7.4.1.1</x:v>
      </x:c>
      <x:c r="C8" s="55" t="str">
        <x:v>Ist eine Softwarearchitektur vorgesehen, die die spezifizierten Anforderungen an die sicherheitsbezogene Software für den geforderten SIL erfüllt?</x:v>
      </x:c>
      <x:c r="D8" s="58" t="str"/>
      <x:c r="E8" s="58" t="str"/>
      <x:c r="F8" s="61" t="str">
        <x:v>D01, D04</x:v>
      </x:c>
      <x:c r="G8" s="64" t="str">
        <x:v>Nicht geprüft</x:v>
      </x:c>
    </x:row>
    <x:row r="9" ht="72" customHeight="1">
      <x:c r="A9" s="54" t="str">
        <x:v>Z2</x:v>
      </x:c>
      <x:c r="B9" s="54" t="str">
        <x:v>7.4.1.2</x:v>
      </x:c>
      <x:c r="C9" s="55" t="str">
        <x:v>Werden die Anforderungen der Hardwarearchitektur an die Software und die sicherheitsrelevanten Wechselwirkungen zwischen Hardware und Software bewertet?</x:v>
      </x:c>
      <x:c r="D9" s="58" t="str"/>
      <x:c r="E9" s="58" t="str"/>
      <x:c r="F9" s="61" t="str">
        <x:v>D02, D04, D06</x:v>
      </x:c>
      <x:c r="G9" s="64" t="str">
        <x:v>Nicht geprüft</x:v>
      </x:c>
    </x:row>
    <x:row r="10" ht="73" customHeight="1">
      <x:c r="A10" s="54" t="str">
        <x:v>Z3</x:v>
      </x:c>
      <x:c r="B10" s="54" t="str">
        <x:v>7.4.1.3</x:v>
      </x:c>
      <x:c r="C10" s="55" t="str">
        <x:v>Ist ein für den geforderten SIL geeigneter Satz aus Werkzeugen, Sprachen, Compilern, Laufzeit- und Anwenderschnittstellen, Datenformaten und Darstellungen ausgewählt, der Verifikation, Validierung, Beurteilung und Modifikation unterstützt?</x:v>
      </x:c>
      <x:c r="D10" s="58" t="str"/>
      <x:c r="E10" s="58" t="str"/>
      <x:c r="F10" s="61" t="str">
        <x:v>D07, D08, D25</x:v>
      </x:c>
      <x:c r="G10" s="64" t="str">
        <x:v>Nicht geprüft</x:v>
      </x:c>
    </x:row>
    <x:row r="11" ht="72" customHeight="1">
      <x:c r="A11" s="54" t="str">
        <x:v>Z4</x:v>
      </x:c>
      <x:c r="B11" s="54" t="str">
        <x:v>7.4.1.4</x:v>
      </x:c>
      <x:c r="C11" s="55" t="str">
        <x:v>Wird die Software so entworfen und implementiert, dass sie die Sicherheitsanforderungen erfüllt, analysierbar und verifizierbar ist und sicher modifiziert werden kann?</x:v>
      </x:c>
      <x:c r="D11" s="58" t="str"/>
      <x:c r="E11" s="58" t="str"/>
      <x:c r="F11" s="61" t="str">
        <x:v>D01, D04, D09, D11, D13</x:v>
      </x:c>
      <x:c r="G11" s="64" t="str">
        <x:v>Nicht geprüft</x:v>
      </x:c>
    </x:row>
    <x:row r="12" ht="72" customHeight="1">
      <x:c r="A12" s="54" t="str">
        <x:v>Z5</x:v>
      </x:c>
      <x:c r="B12" s="54" t="str">
        <x:v>7.4.1.5</x:v>
      </x:c>
      <x:c r="C12" s="55" t="str">
        <x:v>Wird verifiziert, dass die geforderten Sicherheitsfunktionen und die geforderte systematische Eignung erreicht wurden?</x:v>
      </x:c>
      <x:c r="D12" s="58" t="str"/>
      <x:c r="E12" s="58" t="str"/>
      <x:c r="F12" s="61" t="str">
        <x:v>D15–D18, D22, D26</x:v>
      </x:c>
      <x:c r="G12" s="64" t="str">
        <x:v>Nicht geprüft</x:v>
      </x:c>
    </x:row>
    <x:row r="13" ht="72" customHeight="1">
      <x:c r="A13" s="54" t="str">
        <x:v>Z6</x:v>
      </x:c>
      <x:c r="B13" s="54" t="str">
        <x:v>7.4.1.6</x:v>
      </x:c>
      <x:c r="C13" s="55" t="str">
        <x:v>Wird sichergestellt, dass eine datenbasierte Konfiguration des PE-Systems die Anforderungen an die systematische Eignung der Software erfüllt?</x:v>
      </x:c>
      <x:c r="D13" s="58" t="str"/>
      <x:c r="E13" s="58" t="str"/>
      <x:c r="F13" s="61" t="str">
        <x:v>D21</x:v>
      </x:c>
      <x:c r="G13" s="64" t="str">
        <x:v>Nicht geprüft</x:v>
      </x:c>
    </x:row>
    <x:row r="14" ht="72" customHeight="1">
      <x:c r="A14" s="54" t="str">
        <x:v>1</x:v>
      </x:c>
      <x:c r="B14" s="54" t="str">
        <x:v>7.4.2.1</x:v>
      </x:c>
      <x:c r="C14" s="55" t="str">
        <x:v>Ist während der Sicherheitsplanung festgelegt, wer für die Einhaltung der Anforderungen aus 7.4 verantwortlich ist: der Lieferant, der Anwender oder beide?</x:v>
      </x:c>
      <x:c r="D14" s="58" t="str"/>
      <x:c r="E14" s="58" t="str"/>
      <x:c r="F14" s="61" t="str">
        <x:v>D01, D03, D04, D20–D24, D26</x:v>
      </x:c>
      <x:c r="G14" s="64" t="str">
        <x:v>Nicht geprüft</x:v>
      </x:c>
    </x:row>
    <x:row r="15" ht="89" customHeight="1">
      <x:c r="A15" s="54" t="str">
        <x:v>2</x:v>
      </x:c>
      <x:c r="B15" s="54" t="str">
        <x:v>7.4.2.2</x:v>
      </x:c>
      <x:c r="C15" s="55" t="str">
        <x:v>Besitzt die gewählte Entwurfsmethode SIL-angemessene Eigenschaften zur Begrenzung der Komplexität und zur Beschreibung von Funktionalität, Informationsfluss, Reihenfolge und Zeitbezug, Zeitgrenzen, Nebenläufigkeit und gemeinsam genutzten Ressourcen, Datenstrukturen, Entwurfsannahmen und Abhängigkeiten, Ausnahmebehandlung, Vor-/Nachbedingungen und Invarianten sowie Kommentaren? Unterstützt sie unterschiedliche Struktur- und Verhaltenssichten, Verständnis, Verifikation und Validierung?</x:v>
      </x:c>
      <x:c r="D15" s="58" t="str"/>
      <x:c r="E15" s="58" t="str"/>
      <x:c r="F15" s="61" t="str">
        <x:v>D01, D03, D04, D20–D24, D26</x:v>
      </x:c>
      <x:c r="G15" s="64" t="str">
        <x:v>Nicht geprüft</x:v>
      </x:c>
    </x:row>
    <x:row r="16" ht="72" customHeight="1">
      <x:c r="A16" s="54" t="str">
        <x:v>3</x:v>
      </x:c>
      <x:c r="B16" s="54" t="str">
        <x:v>7.4.2.3</x:v>
      </x:c>
      <x:c r="C16" s="55" t="str">
        <x:v>Werden Testbarkeit und sichere Modifizierbarkeit bereits während des Entwurfs berücksichtigt?</x:v>
      </x:c>
      <x:c r="D16" s="58" t="str"/>
      <x:c r="E16" s="58" t="str"/>
      <x:c r="F16" s="61" t="str">
        <x:v>D01, D03, D04, D20–D24, D26</x:v>
      </x:c>
      <x:c r="G16" s="64" t="str">
        <x:v>Nicht geprüft</x:v>
      </x:c>
    </x:row>
    <x:row r="17" ht="72" customHeight="1">
      <x:c r="A17" s="54" t="str">
        <x:v>4</x:v>
      </x:c>
      <x:c r="B17" s="54" t="str">
        <x:v>7.4.2.4</x:v>
      </x:c>
      <x:c r="C17" s="55" t="str">
        <x:v>Unterstützt die Entwurfsmethode sichere Softwaremodifikationen durch Modularität, Geheimnisprinzip und Kapselung?</x:v>
      </x:c>
      <x:c r="D17" s="58" t="str"/>
      <x:c r="E17" s="58" t="str"/>
      <x:c r="F17" s="61" t="str">
        <x:v>D01, D03, D04, D20–D24, D26</x:v>
      </x:c>
      <x:c r="G17" s="64" t="str">
        <x:v>Nicht geprüft</x:v>
      </x:c>
    </x:row>
    <x:row r="18" ht="72" customHeight="1">
      <x:c r="A18" s="54" t="str">
        <x:v>5</x:v>
      </x:c>
      <x:c r="B18" s="54" t="str">
        <x:v>7.4.2.5</x:v>
      </x:c>
      <x:c r="C18" s="55" t="str">
        <x:v>Wird der Entwurf in einer eindeutig definierten Notation dargestellt oder auf eindeutig definierte Eigenschaften beschränkt?</x:v>
      </x:c>
      <x:c r="D18" s="58" t="str"/>
      <x:c r="E18" s="58" t="str"/>
      <x:c r="F18" s="61" t="str">
        <x:v>D01, D03, D04, D20–D24, D26</x:v>
      </x:c>
      <x:c r="G18" s="64" t="str">
        <x:v>Nicht geprüft</x:v>
      </x:c>
    </x:row>
    <x:row r="19" ht="72" customHeight="1">
      <x:c r="A19" s="54" t="str">
        <x:v>6</x:v>
      </x:c>
      <x:c r="B19" s="54" t="str">
        <x:v>7.4.2.6</x:v>
      </x:c>
      <x:c r="C19" s="55" t="str">
        <x:v>Ist der sicherheitsbezogene Teil der Software soweit praktisch möglich einfach gehalten?</x:v>
      </x:c>
      <x:c r="D19" s="58" t="str"/>
      <x:c r="E19" s="58" t="str"/>
      <x:c r="F19" s="61" t="str">
        <x:v>D01, D03, D04, D20–D24, D26</x:v>
      </x:c>
      <x:c r="G19" s="64" t="str">
        <x:v>Nicht geprüft</x:v>
      </x:c>
    </x:row>
    <x:row r="20" ht="72" customHeight="1">
      <x:c r="A20" s="54" t="str">
        <x:v>7</x:v>
      </x:c>
      <x:c r="B20" s="54" t="str">
        <x:v>7.4.2.7</x:v>
      </x:c>
      <x:c r="C20" s="55" t="str">
        <x:v>Enthält der Softwareentwurf eine SIL-angemessene Überwachung von Kontroll- und Datenfluss und sind geeignete Maßnahmen bei erkanntem Versagen definiert?</x:v>
      </x:c>
      <x:c r="D20" s="58" t="str"/>
      <x:c r="E20" s="58" t="str"/>
      <x:c r="F20" s="61" t="str">
        <x:v>D01, D03, D04, D20–D24, D26</x:v>
      </x:c>
      <x:c r="G20" s="64" t="str">
        <x:v>Nicht geprüft</x:v>
      </x:c>
    </x:row>
    <x:row r="21" ht="73" customHeight="1">
      <x:c r="A21" s="54" t="str">
        <x:v>8</x:v>
      </x:c>
      <x:c r="B21" s="54" t="str">
        <x:v>7.4.2.8</x:v>
      </x:c>
      <x:c r="C21" s="55" t="str">
        <x:v>Wird bei gemeinsamer Realisierung von Sicherheits- und Nichtsicherheitsfunktionen entweder die gesamte Software als sicherheitsbezogen behandelt oder eine nachgewiesene Unabhängigkeit gegen nachteilige Beeinflussung hergestellt?</x:v>
      </x:c>
      <x:c r="D21" s="58" t="str"/>
      <x:c r="E21" s="58" t="str"/>
      <x:c r="F21" s="61" t="str">
        <x:v>D01, D03, D04, D20–D24, D26</x:v>
      </x:c>
      <x:c r="G21" s="64" t="str">
        <x:v>Nicht geprüft</x:v>
      </x:c>
    </x:row>
    <x:row r="22" ht="73" customHeight="1">
      <x:c r="A22" s="54" t="str">
        <x:v>9</x:v>
      </x:c>
      <x:c r="B22" s="54" t="str">
        <x:v>7.4.2.9</x:v>
      </x:c>
      <x:c r="C22" s="55" t="str">
        <x:v>Wird Software mit Sicherheitsfunktionen verschiedener SIL nach dem höchsten SIL behandelt oder ist die räumliche und zeitliche Unabhängigkeit beziehungsweise die Beherrschung ihrer Verletzung nachgewiesen und dokumentiert?</x:v>
      </x:c>
      <x:c r="D22" s="58" t="str"/>
      <x:c r="E22" s="58" t="str"/>
      <x:c r="F22" s="61" t="str">
        <x:v>D01, D03, D04, D20–D24, D26</x:v>
      </x:c>
      <x:c r="G22" s="64" t="str">
        <x:v>Nicht geprüft</x:v>
      </x:c>
    </x:row>
    <x:row r="23" ht="72" customHeight="1">
      <x:c r="A23" s="54" t="str">
        <x:v>10</x:v>
      </x:c>
      <x:c r="B23" s="54" t="str">
        <x:v>7.4.2.10</x:v>
      </x:c>
      <x:c r="C23" s="55" t="str">
        <x:v>Werden Softwareelemente mit geringerer systematischer Eignung nur in einer Kombination verwendet, deren systematische Eignung mindestens dem SIL der unterstützten Sicherheitsfunktion entspricht?</x:v>
      </x:c>
      <x:c r="D23" s="58" t="str"/>
      <x:c r="E23" s="58" t="str"/>
      <x:c r="F23" s="61" t="str">
        <x:v>D01, D03, D04, D20–D24, D26</x:v>
      </x:c>
      <x:c r="G23" s="64" t="str">
        <x:v>Nicht geprüft</x:v>
      </x:c>
    </x:row>
    <x:row r="24" ht="72" customHeight="1">
      <x:c r="A24" s="54" t="str">
        <x:v>11</x:v>
      </x:c>
      <x:c r="B24" s="54" t="str">
        <x:v>7.4.2.11</x:v>
      </x:c>
      <x:c r="C24" s="55" t="str">
        <x:v>Werden bei einer Sicherheitsfunktion aus mehreren Softwareelementen mit bekannter systematischer Eignung die Anforderungen aus IEC 61508-2, 7.4.3 auf die Kombination angewendet?</x:v>
      </x:c>
      <x:c r="D24" s="58" t="str"/>
      <x:c r="E24" s="58" t="str"/>
      <x:c r="F24" s="61" t="str">
        <x:v>D01, D03, D04, D20–D24, D26</x:v>
      </x:c>
      <x:c r="G24" s="64" t="str">
        <x:v>Nicht geprüft</x:v>
      </x:c>
    </x:row>
    <x:row r="25" ht="72" customHeight="1">
      <x:c r="A25" s="54" t="str">
        <x:v>12</x:v>
      </x:c>
      <x:c r="B25" s="54" t="str">
        <x:v>7.4.2.12</x:v>
      </x:c>
      <x:c r="C25" s="55" t="str">
        <x:v>Erfüllt jedes wiederverwendete, bereits existierende Softwareelement einen zulässigen Konformitätspfad (1S, 2S oder 3S) und liegt ein ausreichend vollständiges Sicherheitshandbuch für seine Verwendung vor?</x:v>
      </x:c>
      <x:c r="D25" s="58" t="str"/>
      <x:c r="E25" s="58" t="str"/>
      <x:c r="F25" s="61" t="str">
        <x:v>D01, D03, D04, D20–D24, D26</x:v>
      </x:c>
      <x:c r="G25" s="64" t="str">
        <x:v>Nicht geprüft</x:v>
      </x:c>
    </x:row>
    <x:row r="26" ht="81" customHeight="1">
      <x:c r="A26" s="77" t="str">
        <x:v>13</x:v>
      </x:c>
      <x:c r="B26" s="77" t="str">
        <x:v>7.4.2.13</x:v>
      </x:c>
      <x:c r="C26" s="74" t="str">
        <x:v>Sind für Pfad 3S die Software-Sicherheitsanforderungen, die Berücksichtigung der Sicherheitseigenschaften, der dokumentierte Entwurf, die Hardwareintegration, systematische Verifikation und Validierung, die Beherrschung nicht benötigter Funktionen, alle glaubwürdigen Versagensarten und Gegenmaßnahmen, die vollständige Konfiguration sowie die Einhaltung der Annahmen des Sicherheitshandbuchs nachgewiesen?</x:v>
      </x:c>
      <x:c r="D26" s="75" t="str"/>
      <x:c r="E26" s="75" t="str"/>
      <x:c r="F26" s="76" t="str">
        <x:v>D01, D03, D04, D20–D24, D26</x:v>
      </x:c>
      <x:c r="G26" s="78" t="str">
        <x:v>Nicht geprüft</x:v>
      </x:c>
    </x:row>
    <x:row r="27" ht="73" customHeight="1">
      <x:c r="A27" s="77" t="str">
        <x:v>14</x:v>
      </x:c>
      <x:c r="B27" s="77" t="str">
        <x:v>7.4.2.14</x:v>
      </x:c>
      <x:c r="C27" s="74" t="str">
        <x:v>Werden die Anforderungen aus 7.4.2 angemessen auf Daten und datenerzeugende Sprachen angewendet, einschließlich geeigneter Anwendungsentwicklung, Schutz der Konfigurationsdaten, vollständiger und widerspruchsfreier Datenstrukturen sowie dokumentierter Konfiguration?</x:v>
      </x:c>
      <x:c r="D27" s="75" t="str"/>
      <x:c r="E27" s="75" t="str"/>
      <x:c r="F27" s="76" t="str">
        <x:v>D01, D03, D04, D20–D24, D26</x:v>
      </x:c>
      <x:c r="G27" s="78" t="str">
        <x:v>Nicht geprüft</x:v>
      </x:c>
    </x:row>
    <x:row r="28" ht="72" customHeight="1">
      <x:c r="A28" s="77" t="str">
        <x:v>15</x:v>
      </x:c>
      <x:c r="B28" s="77" t="str">
        <x:v>7.4.3.1</x:v>
      </x:c>
      <x:c r="C28" s="74" t="str">
        <x:v>Ist während der Sicherheitsplanung dokumentiert, wie die Verantwortung für die Einhaltung der Architekturanforderungen auf die beteiligten Stellen verteilt ist?</x:v>
      </x:c>
      <x:c r="D28" s="75" t="str"/>
      <x:c r="E28" s="75" t="str"/>
      <x:c r="F28" s="76" t="str">
        <x:v>D01–D06, D19, D22, D24, D26</x:v>
      </x:c>
      <x:c r="G28" s="78" t="str">
        <x:v>Nicht geprüft</x:v>
      </x:c>
    </x:row>
    <x:row r="29" ht="81" customHeight="1">
      <x:c r="A29" s="77" t="str">
        <x:v>16</x:v>
      </x:c>
      <x:c r="B29" s="77" t="str">
        <x:v>7.4.3.2</x:v>
      </x:c>
      <x:c r="C29" s="74" t="str">
        <x:v>Ist die Softwarearchitektur ausreichend detailliert festgelegt und enthält sie einen begründeten Satz von Verfahren und Maßnahmen, die Zerlegung in Elemente/Teilsysteme mit Verifikationsstatus und systematischer Eignung, alle Hardware-/Software-Wechselwirkungen, eine eindeutige Notation, Maßnahmen zur Datenintegrität und angemessene Architektur-Integrationstests?</x:v>
      </x:c>
      <x:c r="D29" s="75" t="str"/>
      <x:c r="E29" s="75" t="str"/>
      <x:c r="F29" s="76" t="str">
        <x:v>D01–D06, D19, D22, D24, D26</x:v>
      </x:c>
      <x:c r="G29" s="78" t="str">
        <x:v>Nicht geprüft</x:v>
      </x:c>
    </x:row>
    <x:row r="30" ht="72" customHeight="1">
      <x:c r="A30" s="77" t="str">
        <x:v>17</x:v>
      </x:c>
      <x:c r="B30" s="77" t="str">
        <x:v>7.4.3.3</x:v>
      </x:c>
      <x:c r="C30" s="74" t="str">
        <x:v>Werden notwendige Änderungen an den Sicherheitsanforderungen des E/E/PE-Systems mit dem zuständigen Systementwickler abgestimmt und dokumentiert?</x:v>
      </x:c>
      <x:c r="D30" s="75" t="str"/>
      <x:c r="E30" s="75" t="str"/>
      <x:c r="F30" s="76" t="str">
        <x:v>D01–D06, D19, D22, D24, D26</x:v>
      </x:c>
      <x:c r="G30" s="78" t="str">
        <x:v>Nicht geprüft</x:v>
      </x:c>
    </x:row>
    <x:row r="31" ht="72" customHeight="1">
      <x:c r="A31" s="77" t="str">
        <x:v>18</x:v>
      </x:c>
      <x:c r="B31" s="77" t="str">
        <x:v>7.4.4.1</x:v>
      </x:c>
      <x:c r="C31" s="74" t="str">
        <x:v>Wird jedes Online-Software-Werkzeug als Softwareelement des sicherheitsbezogenen Systems behandelt?</x:v>
      </x:c>
      <x:c r="D31" s="75" t="str"/>
      <x:c r="E31" s="75" t="str"/>
      <x:c r="F31" s="76" t="str">
        <x:v>D01, D04, D07, D08, D21, D25, D26</x:v>
      </x:c>
      <x:c r="G31" s="78" t="str">
        <x:v>Nicht geprüft</x:v>
      </x:c>
    </x:row>
    <x:row r="32" ht="72" customHeight="1">
      <x:c r="A32" s="77" t="str">
        <x:v>19</x:v>
      </x:c>
      <x:c r="B32" s="77" t="str">
        <x:v>7.4.4.2</x:v>
      </x:c>
      <x:c r="C32" s="74" t="str">
        <x:v>Wurden die Offline-Softwarewerkzeuge als zusammenhängender Bestandteil der Softwareentwicklung ausgewählt?</x:v>
      </x:c>
      <x:c r="D32" s="75" t="str"/>
      <x:c r="E32" s="75" t="str"/>
      <x:c r="F32" s="76" t="str">
        <x:v>D01, D04, D07, D08, D21, D25, D26</x:v>
      </x:c>
      <x:c r="G32" s="78" t="str">
        <x:v>Nicht geprüft</x:v>
      </x:c>
    </x:row>
    <x:row r="33" ht="72" customHeight="1">
      <x:c r="A33" s="77" t="str">
        <x:v>20</x:v>
      </x:c>
      <x:c r="B33" s="77" t="str">
        <x:v>7.4.4.3</x:v>
      </x:c>
      <x:c r="C33" s="74" t="str">
        <x:v>Ist die Auswahl der Offline-Werkzeuge begründet?</x:v>
      </x:c>
      <x:c r="D33" s="75" t="str"/>
      <x:c r="E33" s="75" t="str"/>
      <x:c r="F33" s="76" t="str">
        <x:v>D01, D04, D07, D08, D21, D25, D26</x:v>
      </x:c>
      <x:c r="G33" s="78" t="str">
        <x:v>Nicht geprüft</x:v>
      </x:c>
    </x:row>
    <x:row r="34" ht="72" customHeight="1">
      <x:c r="A34" s="77" t="str">
        <x:v>21</x:v>
      </x:c>
      <x:c r="B34" s="77" t="str">
        <x:v>7.4.4.4</x:v>
      </x:c>
      <x:c r="C34" s="74" t="str">
        <x:v>Liegt für jedes Offline-Werkzeug der Klassen T2 und T3 eine Spezifikation oder Produktdokumentation vor, die das Verhalten, die Bedienung und die Einschränkungen der Verwendung eindeutig beschreibt?</x:v>
      </x:c>
      <x:c r="D34" s="75" t="str"/>
      <x:c r="E34" s="75" t="str"/>
      <x:c r="F34" s="76" t="str">
        <x:v>D01, D04, D07, D08, D21, D25, D26</x:v>
      </x:c>
      <x:c r="G34" s="78" t="str">
        <x:v>Nicht geprüft</x:v>
      </x:c>
    </x:row>
    <x:row r="35" ht="107" customHeight="1">
      <x:c r="A35" s="77" t="str">
        <x:v>22</x:v>
      </x:c>
      <x:c r="B35" s="77" t="str">
        <x:v>7.4.4.5</x:v>
      </x:c>
      <x:c r="C35" s="74" t="str">
        <x:v>Wurde für jedes Offline-Werkzeug der Klassen T2 und T3 beurteilt:
a) welches Vertrauen dem Werkzeug entgegengebracht werden kann;
b) welche möglichen Ausfallmechanismen die ausführbare Software beeinflussen könnten? Wurden für erkannte Ausfallmechanismen geeignete Maßnahmen zur Schadensbegrenzung festgelegt?</x:v>
      </x:c>
      <x:c r="D35" s="75" t="str"/>
      <x:c r="E35" s="75" t="str"/>
      <x:c r="F35" s="76" t="str">
        <x:v>D01, D04, D07, D08, D21, D25, D26</x:v>
      </x:c>
      <x:c r="G35" s="78" t="str">
        <x:v>Nicht geprüft</x:v>
      </x:c>
    </x:row>
    <x:row r="36" ht="73" customHeight="1">
      <x:c r="A36" s="77" t="str">
        <x:v>23</x:v>
      </x:c>
      <x:c r="B36" s="77" t="str">
        <x:v>7.4.4.6</x:v>
      </x:c>
      <x:c r="C36" s="74" t="str">
        <x:v>Liegt für jedes Werkzeug der Klasse T3 ein Nachweis vor, dass es seiner Spezifikation oder Produktdokumentation entspricht? Beruht der Nachweis auf einer geeigneten Kombination aus erfolgreicher Verwendung in ähnlichen Umgebungen und Anwendungen und/oder einer Werkzeugvalidierung nach 7.4.4.7?</x:v>
      </x:c>
      <x:c r="D36" s="75" t="str"/>
      <x:c r="E36" s="75" t="str"/>
      <x:c r="F36" s="76" t="str">
        <x:v>D01, D04, D07, D08, D21, D25, D26</x:v>
      </x:c>
      <x:c r="G36" s="78" t="str">
        <x:v>Nicht geprüft</x:v>
      </x:c>
    </x:row>
    <x:row r="37" ht="208" customHeight="1">
      <x:c r="A37" s="77" t="str">
        <x:v>24</x:v>
      </x:c>
      <x:c r="B37" s="77" t="str">
        <x:v>7.4.4.7</x:v>
      </x:c>
      <x:c r="C37" s="74" t="str">
        <x:v>Enthält die Dokumentation der Werkzeugvalidierung:
a) eine chronologische Aufzeichnung der Validierungstätigkeiten;
b) die Version des verwendeten Werkzeughandbuchs;
c) die validierten Funktionen des Werkzeugs;
d) die verwendeten Werkzeuge und Einrichtungen;
e) die Ergebnisse der Validierung einschließlich der Angabe, ob sie bestanden wurde, oder der Gründe, warum nicht;
f) die Testfälle und ihre Ergebnisse für spätere Analysen;
g) die Abweichungen zwischen erwarteten und tatsächlichen Ergebnissen?</x:v>
      </x:c>
      <x:c r="D37" s="75" t="str"/>
      <x:c r="E37" s="75" t="str"/>
      <x:c r="F37" s="76" t="str">
        <x:v>D01, D04, D07, D08, D21, D25, D26</x:v>
      </x:c>
      <x:c r="G37" s="78" t="str">
        <x:v>Nicht geprüft</x:v>
      </x:c>
    </x:row>
    <x:row r="38" ht="72" customHeight="1">
      <x:c r="A38" s="77" t="str">
        <x:v>25</x:v>
      </x:c>
      <x:c r="B38" s="77" t="str">
        <x:v>7.4.4.8</x:v>
      </x:c>
      <x:c r="C38" s="74" t="str">
        <x:v>Wurden wirksame Maßnahmen festgelegt, um Versagen des ausführbaren sicherheitsbezogenen Systems zu beherrschen, die auf das Werkzeug zurückzuführen sind, falls der Nachweis nach 7.4.4.6 nicht verfügbar ist?</x:v>
      </x:c>
      <x:c r="D38" s="75" t="str"/>
      <x:c r="E38" s="75" t="str"/>
      <x:c r="F38" s="76" t="str">
        <x:v>D01, D04, D07, D08, D21, D25, D26</x:v>
      </x:c>
      <x:c r="G38" s="78" t="str">
        <x:v>Nicht geprüft</x:v>
      </x:c>
    </x:row>
    <x:row r="39" ht="72" customHeight="1">
      <x:c r="A39" s="77" t="str">
        <x:v>26</x:v>
      </x:c>
      <x:c r="B39" s="77" t="str">
        <x:v>7.4.4.9</x:v>
      </x:c>
      <x:c r="C39" s="74" t="str">
        <x:v>Ist die Verträglichkeit der Werkzeuge innerhalb einer integrierten Werkzeuggruppe bestätigt?</x:v>
      </x:c>
      <x:c r="D39" s="75" t="str"/>
      <x:c r="E39" s="75" t="str"/>
      <x:c r="F39" s="76" t="str">
        <x:v>D01, D04, D07, D08, D21, D25, D26</x:v>
      </x:c>
      <x:c r="G39" s="78" t="str">
        <x:v>Nicht geprüft</x:v>
      </x:c>
    </x:row>
    <x:row r="40" ht="182" customHeight="1">
      <x:c r="A40" s="77" t="str">
        <x:v>27</x:v>
      </x:c>
      <x:c r="B40" s="77" t="str">
        <x:v>7.4.4.10</x:v>
      </x:c>
      <x:c r="C40" s="74" t="str">
        <x:v>Erfüllt die gewählte Software- oder Entwurfsdarstellung einschließlich der Programmiersprache, soweit es der Sicherheits-Integritätslevel erfordert, folgende Punkte:
a) Der Übersetzer wurde auf seine Eignung für die Anwendung beurteilt und, soweit angemessen, nach einer internationalen oder nationalen Norm bewertet;
b) es werden nur definierte Sprachfunktionen verwendet;
c) die Darstellung ist für die Besonderheiten der Anwendung geeignet;
d) sie unterstützt die Erkennung von Entwurfs- und Programmierfehlern;
e) sie unterstützt die Eigenschaften der gewählten Entwurfsmethode?</x:v>
      </x:c>
      <x:c r="D40" s="75" t="str"/>
      <x:c r="E40" s="75" t="str"/>
      <x:c r="F40" s="76" t="str">
        <x:v>D01, D04, D07, D08, D21, D25, D26</x:v>
      </x:c>
      <x:c r="G40" s="78" t="str">
        <x:v>Nicht geprüft</x:v>
      </x:c>
    </x:row>
    <x:row r="41" ht="72" customHeight="1">
      <x:c r="A41" s="77" t="str">
        <x:v>28</x:v>
      </x:c>
      <x:c r="B41" s="77" t="str">
        <x:v>7.4.4.11</x:v>
      </x:c>
      <x:c r="C41" s="74" t="str">
        <x:v>Ist die Eignung der Sprache für die Anwendung begründet, falls 7.4.4.10 nicht vollständig erfüllt werden kann? Sind zusätzliche Maßnahmen begründet, mit denen bekannte Mängel der Sprache behandelt werden?</x:v>
      </x:c>
      <x:c r="D41" s="75" t="str"/>
      <x:c r="E41" s="75" t="str"/>
      <x:c r="F41" s="76" t="str">
        <x:v>D01, D04, D07, D08, D21, D25, D26</x:v>
      </x:c>
      <x:c r="G41" s="78" t="str">
        <x:v>Nicht geprüft</x:v>
      </x:c>
    </x:row>
    <x:row r="42" ht="72" customHeight="1">
      <x:c r="A42" s="77" t="str">
        <x:v>29</x:v>
      </x:c>
      <x:c r="B42" s="77" t="str">
        <x:v>7.4.4.12</x:v>
      </x:c>
      <x:c r="C42" s="74" t="str">
        <x:v>Werden Programmiersprachen für sicherheitsbezogene Software nach angemessenen Programmierrichtlinien verwendet?</x:v>
      </x:c>
      <x:c r="D42" s="75" t="str"/>
      <x:c r="E42" s="75" t="str"/>
      <x:c r="F42" s="76" t="str">
        <x:v>D01, D04, D07, D08, D21, D25, D26</x:v>
      </x:c>
      <x:c r="G42" s="78" t="str">
        <x:v>Nicht geprüft</x:v>
      </x:c>
    </x:row>
    <x:row r="43" ht="174" customHeight="1">
      <x:c r="A43" s="77" t="str">
        <x:v>30</x:v>
      </x:c>
      <x:c r="B43" s="77" t="str">
        <x:v>7.4.4.13</x:v>
      </x:c>
      <x:c r="C43" s="74" t="str">
        <x:v>Beschreibt die Programmierrichtlinie:
a) gute Programmiertechniken;
b) das Verbot unsicherer Sprachmerkmale;
c) Regeln zur guten Verständlichkeit des Codes;
d) Regeln zur Erleichterung von Verifikation und Tests;
e) die Dokumentation des Source-Codes? Enthält der Source-Code, soweit durchführbar, Angaben zur verantwortlichen juristischen Person oder zu den Autoren, eine Beschreibung, Ein- und Ausgaben sowie die Vorgeschichte des Konfigurationsmanagements?</x:v>
      </x:c>
      <x:c r="D43" s="75" t="str"/>
      <x:c r="E43" s="75" t="str"/>
      <x:c r="F43" s="76" t="str">
        <x:v>D01, D04, D07, D08, D21, D25, D26</x:v>
      </x:c>
      <x:c r="G43" s="78" t="str">
        <x:v>Nicht geprüft</x:v>
      </x:c>
    </x:row>
    <x:row r="44" ht="72" customHeight="1">
      <x:c r="A44" s="77" t="str">
        <x:v>31</x:v>
      </x:c>
      <x:c r="B44" s="77" t="str">
        <x:v>7.4.4.14</x:v>
      </x:c>
      <x:c r="C44" s="74" t="str">
        <x:v>Wurde bei der Auswahl der Werkzeuge beurteilt, ob ein automatischer Codegenerator oder ein vergleichbarer automatischer Übersetzer für die Entwicklung des sicherheitsbezogenen Systems geeignet ist?</x:v>
      </x:c>
      <x:c r="D44" s="75" t="str"/>
      <x:c r="E44" s="75" t="str"/>
      <x:c r="F44" s="76" t="str">
        <x:v>D01, D04, D07, D08, D21, D25, D26</x:v>
      </x:c>
      <x:c r="G44" s="78" t="str">
        <x:v>Nicht geprüft</x:v>
      </x:c>
    </x:row>
    <x:row r="45" ht="132" customHeight="1">
      <x:c r="A45" s="77" t="str">
        <x:v>32</x:v>
      </x:c>
      <x:c r="B45" s="77" t="str">
        <x:v>7.4.4.15</x:v>
      </x:c>
      <x:c r="C45" s="74" t="str">
        <x:v>Zeichnet das Konfigurationsmanagement bei Ergebnissen von Offline-Werkzeugen der Klassen T2 und T3 mindestens auf:
a) Bezeichnung und Version des Werkzeugs;
b) die Teile der Basiskonfiguration, für die diese Werkzeugversion verwendet wurde;
c) die Art der Verwendung einschließlich Parameter, Optionen und verwendeter Skripte?</x:v>
      </x:c>
      <x:c r="D45" s="75" t="str"/>
      <x:c r="E45" s="75" t="str"/>
      <x:c r="F45" s="76" t="str">
        <x:v>D01, D04, D07, D08, D21, D25, D26</x:v>
      </x:c>
      <x:c r="G45" s="78" t="str">
        <x:v>Nicht geprüft</x:v>
      </x:c>
    </x:row>
    <x:row r="46" ht="72" customHeight="1">
      <x:c r="A46" s="77" t="str">
        <x:v>33</x:v>
      </x:c>
      <x:c r="B46" s="77" t="str">
        <x:v>7.4.4.16</x:v>
      </x:c>
      <x:c r="C46" s="74" t="str">
        <x:v>Stellt das Konfigurationsmanagement sicher, dass für Werkzeuge der Klassen T2 und T3 nur geeignete Versionen verwendet werden?</x:v>
      </x:c>
      <x:c r="D46" s="75" t="str"/>
      <x:c r="E46" s="75" t="str"/>
      <x:c r="F46" s="76" t="str">
        <x:v>D01, D04, D07, D08, D21, D25, D26</x:v>
      </x:c>
      <x:c r="G46" s="78" t="str">
        <x:v>Nicht geprüft</x:v>
      </x:c>
    </x:row>
    <x:row r="47" ht="72" customHeight="1">
      <x:c r="A47" s="77" t="str">
        <x:v>34</x:v>
      </x:c>
      <x:c r="B47" s="77" t="str">
        <x:v>7.4.4.17</x:v>
      </x:c>
      <x:c r="C47" s="74" t="str">
        <x:v>Stellt das Konfigurationsmanagement sicher, dass nur Werkzeuge verwendet werden, die untereinander und mit dem sicherheitsbezogenen System verträglich sind?</x:v>
      </x:c>
      <x:c r="D47" s="75" t="str"/>
      <x:c r="E47" s="75" t="str"/>
      <x:c r="F47" s="76" t="str">
        <x:v>D01, D04, D07, D08, D21, D25, D26</x:v>
      </x:c>
      <x:c r="G47" s="78" t="str">
        <x:v>Nicht geprüft</x:v>
      </x:c>
    </x:row>
    <x:row r="48" ht="115" customHeight="1">
      <x:c r="A48" s="77" t="str">
        <x:v>35</x:v>
      </x:c>
      <x:c r="B48" s="77" t="str">
        <x:v>7.4.4.18</x:v>
      </x:c>
      <x:c r="C48" s="74" t="str">
        <x:v>Wurde jede neue Version eines Offline-Werkzeugs qualifiziert? Wenn die Qualifikation auf einer Vorgängerversion beruht, ist ausreichend nachgewiesen, dass:
a) funktionale Unterschiede die Verträglichkeit mit der übrigen Werkzeuggruppe nicht beeinträchtigen;
b) die neue Version voraussichtlich keine wesentlichen neuen und unbekannten Fehler enthält?</x:v>
      </x:c>
      <x:c r="D48" s="75" t="str"/>
      <x:c r="E48" s="75" t="str"/>
      <x:c r="F48" s="76" t="str">
        <x:v>D01, D04, D07, D08, D21, D25, D26</x:v>
      </x:c>
      <x:c r="G48" s="78" t="str">
        <x:v>Nicht geprüft</x:v>
      </x:c>
    </x:row>
    <x:row r="49" ht="72" customHeight="1">
      <x:c r="A49" s="77" t="str">
        <x:v>36</x:v>
      </x:c>
      <x:c r="B49" s="77" t="str">
        <x:v>7.4.4.19</x:v>
      </x:c>
      <x:c r="C49" s="74" t="str">
        <x:v>Ist während der Sicherheitsplanung dokumentiert, wie die Verantwortung für die Einhaltung der Anforderungen aus 7.4.4 auf die beteiligten Stellen verteilt ist?</x:v>
      </x:c>
      <x:c r="D49" s="75" t="str"/>
      <x:c r="E49" s="75" t="str"/>
      <x:c r="F49" s="76" t="str">
        <x:v>D01, D04, D07, D08, D21, D25, D26</x:v>
      </x:c>
      <x:c r="G49" s="78" t="str">
        <x:v>Nicht geprüft</x:v>
      </x:c>
    </x:row>
    <x:row r="50" ht="72" customHeight="1">
      <x:c r="A50" s="77" t="str">
        <x:v>37</x:v>
      </x:c>
      <x:c r="B50" s="77" t="str">
        <x:v>7.4.5.1</x:v>
      </x:c>
      <x:c r="C50" s="74" t="str">
        <x:v>Ist während der Sicherheitsplanung dokumentiert, wie die Verantwortung für die Einhaltung der Anforderungen aus 7.4.5 auf die beteiligten Stellen verteilt ist?</x:v>
      </x:c>
      <x:c r="D50" s="75" t="str"/>
      <x:c r="E50" s="75" t="str"/>
      <x:c r="F50" s="76" t="str">
        <x:v>D01, D02, D04, D08–D12, D19, D22, D24, D26</x:v>
      </x:c>
      <x:c r="G50" s="78" t="str">
        <x:v>Nicht geprüft</x:v>
      </x:c>
    </x:row>
    <x:row r="51" ht="124" customHeight="1">
      <x:c r="A51" s="77" t="str">
        <x:v>38</x:v>
      </x:c>
      <x:c r="B51" s="77" t="str">
        <x:v>7.4.5.2</x:v>
      </x:c>
      <x:c r="C51" s="74" t="str">
        <x:v>Liegen vor Beginn des detaillierten Entwurfs folgende Informationen vor:
a) die Spezifikation der Anforderungen an das sicherheitsbezogene E/E/PE-System;
b) der Entwurf der Softwarearchitektur;
c) der Validierungsplan für die Softwareaspekte der Systemsicherheit?</x:v>
      </x:c>
      <x:c r="D51" s="75" t="str"/>
      <x:c r="E51" s="75" t="str"/>
      <x:c r="F51" s="76" t="str">
        <x:v>D01, D02, D04, D08–D12, D19, D22, D24, D26</x:v>
      </x:c>
      <x:c r="G51" s="78" t="str">
        <x:v>Nicht geprüft</x:v>
      </x:c>
    </x:row>
    <x:row r="52" ht="72" customHeight="1">
      <x:c r="A52" s="77" t="str">
        <x:v>39</x:v>
      </x:c>
      <x:c r="B52" s="77" t="str">
        <x:v>7.4.5.3</x:v>
      </x:c>
      <x:c r="C52" s="74" t="str">
        <x:v>Ist die Software so entworfen, dass Modularität, Prüfbarkeit und sichere Modifizierbarkeit erreicht werden?</x:v>
      </x:c>
      <x:c r="D52" s="75" t="str"/>
      <x:c r="E52" s="75" t="str"/>
      <x:c r="F52" s="76" t="str">
        <x:v>D01, D02, D04, D08–D12, D19, D22, D24, D26</x:v>
      </x:c>
      <x:c r="G52" s="78" t="str">
        <x:v>Nicht geprüft</x:v>
      </x:c>
    </x:row>
    <x:row r="53" ht="72" customHeight="1">
      <x:c r="A53" s="77" t="str">
        <x:v>40</x:v>
      </x:c>
      <x:c r="B53" s="77" t="str">
        <x:v>7.4.5.4</x:v>
      </x:c>
      <x:c r="C53" s="74" t="str">
        <x:v>Wurde der Entwurf für jedes wichtige Element oder Teilsystem der Softwarearchitektur bis auf Softwaremodule verfeinert? Sind der Entwurf und die anzuwendende Verifikation für jedes Softwaremodul spezifiziert?</x:v>
      </x:c>
      <x:c r="D53" s="75" t="str"/>
      <x:c r="E53" s="75" t="str"/>
      <x:c r="F53" s="76" t="str">
        <x:v>D01, D02, D04, D08–D12, D19, D22, D24, D26</x:v>
      </x:c>
      <x:c r="G53" s="78" t="str">
        <x:v>Nicht geprüft</x:v>
      </x:c>
    </x:row>
    <x:row r="54" ht="73" customHeight="1">
      <x:c r="A54" s="77" t="str">
        <x:v>41</x:v>
      </x:c>
      <x:c r="B54" s="77" t="str">
        <x:v>7.4.5.5</x:v>
      </x:c>
      <x:c r="C54" s="74" t="str">
        <x:v>Sind angemessene Integrationstests für das Softwaresystem spezifiziert, mit denen nachgewiesen werden kann, dass das Softwaresystem die Anforderungen an die Sicherheit der Software für den geforderten Sicherheits-Integritätslevel erfüllt?</x:v>
      </x:c>
      <x:c r="D54" s="75" t="str"/>
      <x:c r="E54" s="75" t="str"/>
      <x:c r="F54" s="76" t="str">
        <x:v>D01, D02, D04, D08–D12, D19, D22, D24, D26</x:v>
      </x:c>
      <x:c r="G54" s="78" t="str">
        <x:v>Nicht geprüft</x:v>
      </x:c>
    </x:row>
    <x:row r="55" ht="73" customHeight="1">
      <x:c r="A55" s="77" t="str">
        <x:v>42</x:v>
      </x:c>
      <x:c r="B55" s="77" t="str">
        <x:v>7.4.6.1</x:v>
      </x:c>
      <x:c r="C55" s="74" t="str">
        <x:v>Wurde jedes Softwaremodul des Source-Codes überprüft? Wenn Code automatisch erzeugt wurde: Sind die Anforderungen aus 7.4.4 erfüllt? Wenn wiederverwendete, bereits vorhandene Software eingesetzt wird: Sind die Anforderungen aus 7.4.2 erfüllt?</x:v>
      </x:c>
      <x:c r="D55" s="75" t="str"/>
      <x:c r="E55" s="75" t="str"/>
      <x:c r="F55" s="76" t="str">
        <x:v>D07, D08, D11, D13, D14, D20, D25, D26</x:v>
      </x:c>
      <x:c r="G55" s="78" t="str">
        <x:v>Nicht geprüft</x:v>
      </x:c>
    </x:row>
    <x:row r="56" ht="72" customHeight="1">
      <x:c r="A56" s="77" t="str">
        <x:v>43</x:v>
      </x:c>
      <x:c r="B56" s="77" t="str">
        <x:v>7.4.7.1</x:v>
      </x:c>
      <x:c r="C56" s="74" t="str">
        <x:v>Wurde jedes Softwaremodul entsprechend der beim Softwaresystementwurf erstellten Testspezifikation für Softwaremodule verifiziert?</x:v>
      </x:c>
      <x:c r="D56" s="75" t="str"/>
      <x:c r="E56" s="75" t="str"/>
      <x:c r="F56" s="76" t="str">
        <x:v>D11–D16, D22, D26</x:v>
      </x:c>
      <x:c r="G56" s="78" t="str">
        <x:v>Nicht geprüft</x:v>
      </x:c>
    </x:row>
    <x:row r="57" ht="72" customHeight="1">
      <x:c r="A57" s="77" t="str">
        <x:v>44</x:v>
      </x:c>
      <x:c r="B57" s="77" t="str">
        <x:v>7.4.7.2</x:v>
      </x:c>
      <x:c r="C57" s="74" t="str">
        <x:v>Zeigt die Verifikation, dass jedes Softwaremodul seine vorgesehene Funktion und keine unbeabsichtigten Funktionen ausführt?</x:v>
      </x:c>
      <x:c r="D57" s="75" t="str"/>
      <x:c r="E57" s="75" t="str"/>
      <x:c r="F57" s="76" t="str">
        <x:v>D11–D16, D22, D26</x:v>
      </x:c>
      <x:c r="G57" s="78" t="str">
        <x:v>Nicht geprüft</x:v>
      </x:c>
    </x:row>
    <x:row r="58" ht="72" customHeight="1">
      <x:c r="A58" s="77" t="str">
        <x:v>45</x:v>
      </x:c>
      <x:c r="B58" s="77" t="str">
        <x:v>7.4.7.3</x:v>
      </x:c>
      <x:c r="C58" s="74" t="str">
        <x:v>Sind die Ergebnisse der Tests der Softwaremodule dokumentiert?</x:v>
      </x:c>
      <x:c r="D58" s="75" t="str"/>
      <x:c r="E58" s="75" t="str"/>
      <x:c r="F58" s="76" t="str">
        <x:v>D11–D16, D22, D26</x:v>
      </x:c>
      <x:c r="G58" s="78" t="str">
        <x:v>Nicht geprüft</x:v>
      </x:c>
    </x:row>
    <x:row r="59" ht="72" customHeight="1">
      <x:c r="A59" s="77" t="str">
        <x:v>46</x:v>
      </x:c>
      <x:c r="B59" s="77" t="str">
        <x:v>7.4.7.4</x:v>
      </x:c>
      <x:c r="C59" s="74" t="str">
        <x:v>Sind die Verfahren für Korrekturen bei nicht bestandenen Tests festgelegt?</x:v>
      </x:c>
      <x:c r="D59" s="75" t="str"/>
      <x:c r="E59" s="75" t="str"/>
      <x:c r="F59" s="76" t="str">
        <x:v>D11–D16, D22, D26</x:v>
      </x:c>
      <x:c r="G59" s="78" t="str">
        <x:v>Nicht geprüft</x:v>
      </x:c>
    </x:row>
    <x:row r="60" ht="72" customHeight="1">
      <x:c r="A60" s="77" t="str">
        <x:v>47</x:v>
      </x:c>
      <x:c r="B60" s="77" t="str">
        <x:v>7.4.8.1</x:v>
      </x:c>
      <x:c r="C60" s="74" t="str">
        <x:v>Wurde der Softwareintegrationstest bereits während der Entwurfs- und Entwicklungsphase spezifiziert?</x:v>
      </x:c>
      <x:c r="D60" s="75" t="str"/>
      <x:c r="E60" s="75" t="str"/>
      <x:c r="F60" s="76" t="str">
        <x:v>D09, D10, D13, D16–D18, D22, D23, D26</x:v>
      </x:c>
      <x:c r="G60" s="78" t="str">
        <x:v>Nicht geprüft</x:v>
      </x:c>
    </x:row>
    <x:row r="61" ht="183" customHeight="1">
      <x:c r="A61" s="77" t="str">
        <x:v>48</x:v>
      </x:c>
      <x:c r="B61" s="77" t="str">
        <x:v>7.4.8.2</x:v>
      </x:c>
      <x:c r="C61" s="74" t="str">
        <x:v>Legt die Spezifikation der System-Integrationstests der Software fest:
a) die Aufteilung der Software in handhabbare Integrationseinheiten;
b) die Testfälle und Testdaten;
c) die durchzuführenden Testarten;
d) die Testumgebung, Werkzeuge, Konfiguration und Programme;
e) die Kriterien zur Beurteilung der Vollständigkeit der Tests;
f) die Verfahren für Korrekturen bei nicht bestandenen Tests?</x:v>
      </x:c>
      <x:c r="D61" s="75" t="str"/>
      <x:c r="E61" s="75" t="str"/>
      <x:c r="F61" s="76" t="str">
        <x:v>D09, D10, D13, D16–D18, D22, D23, D26</x:v>
      </x:c>
      <x:c r="G61" s="78" t="str">
        <x:v>Nicht geprüft</x:v>
      </x:c>
    </x:row>
    <x:row r="62" ht="73" customHeight="1">
      <x:c r="A62" s="77" t="str">
        <x:v>49</x:v>
      </x:c>
      <x:c r="B62" s="77" t="str">
        <x:v>7.4.8.3</x:v>
      </x:c>
      <x:c r="C62" s="74" t="str">
        <x:v>Wurde die Software nach der Spezifikation der Softwareintegrationstests getestet? Zeigen die Tests, dass alle Softwaremodule, Softwareelemente und Teilsysteme ordnungsgemäß zusammenarbeiten, ihre vorgesehenen Funktionen ausführen und keine unbeabsichtigten Funktionen ausführen?</x:v>
      </x:c>
      <x:c r="D62" s="75" t="str"/>
      <x:c r="E62" s="75" t="str"/>
      <x:c r="F62" s="76" t="str">
        <x:v>D09, D10, D13, D16–D18, D22, D23, D26</x:v>
      </x:c>
      <x:c r="G62" s="78" t="str">
        <x:v>Nicht geprüft</x:v>
      </x:c>
    </x:row>
    <x:row r="63" ht="72" customHeight="1">
      <x:c r="A63" s="77" t="str">
        <x:v>50</x:v>
      </x:c>
      <x:c r="B63" s="77" t="str">
        <x:v>7.4.8.4</x:v>
      </x:c>
      <x:c r="C63" s="74" t="str">
        <x:v>Sind die Ergebnisse der Softwareintegrationstests dokumentiert? Ist festgehalten, ob die Ziele und Testkriterien erreicht wurden? Sind bei festgestelltem Versagen die Gründe dokumentiert?</x:v>
      </x:c>
      <x:c r="D63" s="75" t="str"/>
      <x:c r="E63" s="75" t="str"/>
      <x:c r="F63" s="76" t="str">
        <x:v>D09, D10, D13, D16–D18, D22, D23, D26</x:v>
      </x:c>
      <x:c r="G63" s="78" t="str">
        <x:v>Nicht geprüft</x:v>
      </x:c>
    </x:row>
    <x:row r="64" ht="73" customHeight="1">
      <x:c r="A64" s="77" t="str">
        <x:v>51</x:v>
      </x:c>
      <x:c r="B64" s="77" t="str">
        <x:v>7.4.8.5</x:v>
      </x:c>
      <x:c r="C64" s="74" t="str">
        <x:v>Wurde jede Softwaremodifikation während der Softwareintegration einer Einflussanalyse unterzogen? Ermittelt die Analyse die Auswirkungen auf alle Softwaremodule sowie die erforderlichen Tätigkeiten für Neuverifikation und Neuentwurf?</x:v>
      </x:c>
      <x:c r="D64" s="75" t="str"/>
      <x:c r="E64" s="75" t="str"/>
      <x:c r="F64" s="76" t="str">
        <x:v>D09, D10, D13, D16–D18, D22, D23, D26</x:v>
      </x:c>
      <x:c r="G64" s="78" t="str">
        <x:v>Nicht geprüft</x:v>
      </x:c>
    </x:row>
  </x:sheetData>
  <x:mergeCells>
    <x:mergeCell ref="A1:G2"/>
    <x:mergeCell ref="A3:G3"/>
  </x:mergeCells>
  <x:conditionalFormatting sqref="G8:G22">
    <x:cfRule type="expression" dxfId="0" priority="1">
      <x:formula>G8="OK"</x:formula>
    </x:cfRule>
    <x:cfRule type="expression" dxfId="1" priority="2">
      <x:formula>G8="Nicht OK"</x:formula>
    </x:cfRule>
    <x:cfRule type="expression" dxfId="2" priority="3">
      <x:formula>G8="Nicht geprüft"</x:formula>
    </x:cfRule>
    <x:cfRule type="expression" dxfId="3" priority="4">
      <x:formula>G8="n. a."</x:formula>
    </x:cfRule>
  </x:conditionalFormatting>
  <x:conditionalFormatting sqref="G8:G64">
    <x:cfRule type="expression" dxfId="12" priority="5">
      <x:formula>G8="OK"</x:formula>
    </x:cfRule>
    <x:cfRule type="expression" dxfId="13" priority="6">
      <x:formula>G8="Nicht OK"</x:formula>
    </x:cfRule>
    <x:cfRule type="expression" dxfId="14" priority="7">
      <x:formula>G8="Nicht geprüft"</x:formula>
    </x:cfRule>
    <x:cfRule type="expression" dxfId="15" priority="8">
      <x:formula>G8="n. a."</x:formula>
    </x:cfRule>
  </x:conditionalFormatting>
  <x:dataValidations count="2">
    <x:dataValidation type="list" sqref="G8:G22">
      <x:formula1>"Nicht geprüft,OK,Nicht OK,n. a."</x:formula1>
    </x:dataValidation>
    <x:dataValidation type="list" sqref="G8:G64">
      <x:formula1>"Nicht geprüft,OK,Nicht OK,n. a."</x:formula1>
    </x:dataValidation>
  </x:dataValidations>
  <x:pageMargins left="0.7" right="0.7" top="0.75" bottom="0.75" header="0.3" footer="0.3"/>
  <x:tableParts count="1">
    <x:tablePart xmlns:r="http://schemas.openxmlformats.org/officeDocument/2006/relationships" r:id="R0033eb53f781492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2" hidden="0" customWidth="1"/>
    <x:col min="4" max="4" width="52" hidden="0" customWidth="1"/>
    <x:col min="5" max="5" width="18" hidden="0" customWidth="1"/>
    <x:col min="6" max="6" width="46" hidden="0" customWidth="1"/>
    <x:col min="7" max="7" width="28" hidden="0" customWidth="1"/>
    <x:col min="8" max="8" width="14" hidden="0" customWidth="1"/>
    <x:col min="9" max="9" width="19" hidden="0" customWidth="1"/>
    <x:col min="10" max="10" width="22" hidden="0" customWidth="1"/>
    <x:col min="11" max="11" width="34" hidden="0" customWidth="1"/>
  </x:cols>
  <x:sheetData>
    <x:row r="1" ht="34" customHeight="1">
      <x:c r="A1" s="6" t="str">
        <x:v>Eingabe- und Ausgabedokumente – Kapitel 7.4</x:v>
      </x:c>
      <x:c r="B1" s="6" t="str">
        <x:v>Eingabe- und Ausgabedokumente – Kapitel 7.4</x:v>
      </x:c>
      <x:c r="C1" s="6" t="str">
        <x:v>Eingabe- und Ausgabedokumente – Kapitel 7.4</x:v>
      </x:c>
      <x:c r="D1" s="6" t="str">
        <x:v>Eingabe- und Ausgabedokumente – Kapitel 7.4</x:v>
      </x:c>
      <x:c r="E1" s="6" t="str">
        <x:v>Eingabe- und Ausgabedokumente – Kapitel 7.4</x:v>
      </x:c>
      <x:c r="F1" s="6" t="str">
        <x:v>Eingabe- und Ausgabedokumente – Kapitel 7.4</x:v>
      </x:c>
      <x:c r="G1" s="6" t="str">
        <x:v>Eingabe- und Ausgabedokumente – Kapitel 7.4</x:v>
      </x:c>
      <x:c r="H1" s="6" t="str">
        <x:v>Eingabe- und Ausgabedokumente – Kapitel 7.4</x:v>
      </x:c>
      <x:c r="I1" s="6" t="str">
        <x:v>Eingabe- und Ausgabedokumente – Kapitel 7.4</x:v>
      </x:c>
      <x:c r="J1" s="6" t="str">
        <x:v>Eingabe- und Ausgabedokumente – Kapitel 7.4</x:v>
      </x:c>
      <x:c r="K1" s="6" t="str">
        <x:v>Eingabe- und Ausgabedokumente – Kapitel 7.4</x:v>
      </x:c>
    </x:row>
    <x:row r="2" ht="34" customHeight="1">
      <x:c r="A2" s="6" t="str">
        <x:v>Eingabe- und Ausgabedokumente – Kapitel 7.4</x:v>
      </x:c>
      <x:c r="B2" s="6" t="str">
        <x:v>Eingabe- und Ausgabedokumente – Kapitel 7.4</x:v>
      </x:c>
      <x:c r="C2" s="6" t="str">
        <x:v>Eingabe- und Ausgabedokumente – Kapitel 7.4</x:v>
      </x:c>
      <x:c r="D2" s="6" t="str">
        <x:v>Eingabe- und Ausgabedokumente – Kapitel 7.4</x:v>
      </x:c>
      <x:c r="E2" s="6" t="str">
        <x:v>Eingabe- und Ausgabedokumente – Kapitel 7.4</x:v>
      </x:c>
      <x:c r="F2" s="6" t="str">
        <x:v>Eingabe- und Ausgabedokumente – Kapitel 7.4</x:v>
      </x:c>
      <x:c r="G2" s="6" t="str">
        <x:v>Eingabe- und Ausgabedokumente – Kapitel 7.4</x:v>
      </x:c>
      <x:c r="H2" s="6" t="str">
        <x:v>Eingabe- und Ausgabedokumente – Kapitel 7.4</x:v>
      </x:c>
      <x:c r="I2" s="6" t="str">
        <x:v>Eingabe- und Ausgabedokumente – Kapitel 7.4</x:v>
      </x:c>
      <x:c r="J2" s="6" t="str">
        <x:v>Eingabe- und Ausgabedokumente – Kapitel 7.4</x:v>
      </x:c>
      <x:c r="K2" s="6" t="str">
        <x:v>Eingabe- und Ausgabedokumente – Kapitel 7.4</x:v>
      </x:c>
    </x:row>
    <x:row r="3">
      <x:c r="A3" s="32" t="str">
        <x:v>Normnahes Dokumentenregister mit Bezug zu Prüfpunkt und Normkapitel. Gelbe Zellen werden projektspezifisch ausgefüllt.</x:v>
      </x:c>
      <x:c r="B3" s="32" t="str">
        <x:v>Normnahes Dokumentenregister mit Bezug zu Prüfpunkt und Normkapitel. Gelbe Zellen werden projektspezifisch ausgefüllt.</x:v>
      </x:c>
      <x:c r="C3" s="32" t="str">
        <x:v>Normnahes Dokumentenregister mit Bezug zu Prüfpunkt und Normkapitel. Gelbe Zellen werden projektspezifisch ausgefüllt.</x:v>
      </x:c>
      <x:c r="D3" s="32" t="str">
        <x:v>Normnahes Dokumentenregister mit Bezug zu Prüfpunkt und Normkapitel. Gelbe Zellen werden projektspezifisch ausgefüllt.</x:v>
      </x:c>
      <x:c r="E3" s="32" t="str">
        <x:v>Normnahes Dokumentenregister mit Bezug zu Prüfpunkt und Normkapitel. Gelbe Zellen werden projektspezifisch ausgefüllt.</x:v>
      </x:c>
      <x:c r="F3" s="32" t="str">
        <x:v>Normnahes Dokumentenregister mit Bezug zu Prüfpunkt und Normkapitel. Gelbe Zellen werden projektspezifisch ausgefüllt.</x:v>
      </x:c>
      <x:c r="G3" s="32" t="str">
        <x:v>Normnahes Dokumentenregister mit Bezug zu Prüfpunkt und Normkapitel. Gelbe Zellen werden projektspezifisch ausgefüllt.</x:v>
      </x:c>
      <x:c r="H3" s="32" t="str">
        <x:v>Normnahes Dokumentenregister mit Bezug zu Prüfpunkt und Normkapitel. Gelbe Zellen werden projektspezifisch ausgefüllt.</x:v>
      </x:c>
      <x:c r="I3" s="32" t="str">
        <x:v>Normnahes Dokumentenregister mit Bezug zu Prüfpunkt und Normkapitel. Gelbe Zellen werden projektspezifisch ausgefüllt.</x:v>
      </x:c>
      <x:c r="J3" s="32" t="str">
        <x:v>Normnahes Dokumentenregister mit Bezug zu Prüfpunkt und Normkapitel. Gelbe Zellen werden projektspezifisch ausgefüllt.</x:v>
      </x:c>
      <x:c r="K3" s="32" t="str">
        <x:v>Normnahes Dokumentenregister mit Bezug zu Prüfpunkt und Normkapitel. Gelbe Zellen werden projektspezifisch ausgefüllt.</x:v>
      </x:c>
    </x:row>
    <x:row r="4">
      <x:c r="A4" s="2"/>
      <x:c r="B4" s="2"/>
      <x:c r="C4" s="2"/>
      <x:c r="D4" s="2"/>
      <x:c r="E4" s="2"/>
      <x:c r="F4" s="2"/>
      <x:c r="G4" s="2"/>
      <x:c r="H4" s="2"/>
      <x:c r="I4" s="2"/>
      <x:c r="J4" s="2"/>
      <x:c r="K4" s="2"/>
    </x:row>
    <x:row r="5">
      <x:c r="A5" s="48" t="str">
        <x:v>Dokumente</x:v>
      </x:c>
      <x:c r="B5" s="48" t="n">
        <x:v>26</x:v>
      </x:c>
      <x:c r="C5" s="48" t="str">
        <x:v>Eingaben</x:v>
      </x:c>
      <x:c r="D5" s="48" t="n">
        <x:f>COUNTIF(B8:B33,"Eingabe")+COUNTIF(B8:B33,"Eingabe / Ausgabe")</x:f>
        <x:v>9</x:v>
      </x:c>
      <x:c r="E5" s="48" t="str">
        <x:v>Ausgaben</x:v>
      </x:c>
      <x:c r="F5" s="48" t="n">
        <x:f>COUNTIF(B8:B33,"Ausgabe")+COUNTIF(B8:B33,"Eingabe / Ausgabe")</x:f>
        <x:v>22</x:v>
      </x:c>
      <x:c r="G5" s="48" t="str">
        <x:v>Geprüft / freigegeben</x:v>
      </x:c>
      <x:c r="H5" s="48" t="n">
        <x:f>COUNTIF(I8:I33,"Geprüft")+COUNTIF(I8:I33,"Freigegeben")</x:f>
        <x:v>0</x:v>
      </x:c>
      <x:c r="I5" s="48" t="str">
        <x:v>Nicht vorgelegt</x:v>
      </x:c>
      <x:c r="J5" s="48" t="n">
        <x:f>COUNTIF(I8:I33,"Nicht vorgelegt")</x:f>
        <x:v>26</x:v>
      </x:c>
      <x:c r="K5" s="48" t="str"/>
    </x:row>
    <x:row r="6">
      <x:c r="A6" s="2"/>
      <x:c r="B6" s="2"/>
      <x:c r="C6" s="2"/>
      <x:c r="D6" s="2"/>
      <x:c r="E6" s="2"/>
      <x:c r="F6" s="2"/>
      <x:c r="G6" s="2"/>
      <x:c r="H6" s="2"/>
      <x:c r="I6" s="2"/>
      <x:c r="J6" s="2"/>
      <x:c r="K6" s="2"/>
    </x:row>
    <x:row r="7">
      <x:c r="A7" s="40" t="str">
        <x:v>ID</x:v>
      </x:c>
      <x:c r="B7" s="40" t="str">
        <x:v>Art</x:v>
      </x:c>
      <x:c r="C7" s="40" t="str">
        <x:v>Normbegriff / Dokument</x:v>
      </x:c>
      <x:c r="D7" s="40" t="str">
        <x:v>Funktion / erwarteter Inhalt</x:v>
      </x:c>
      <x:c r="E7" s="40" t="str">
        <x:v>Bezug Prüfpunkt</x:v>
      </x:c>
      <x:c r="F7" s="40" t="str">
        <x:v>Normreferenz</x:v>
      </x:c>
      <x:c r="G7" s="40" t="str">
        <x:v>Dokumentkennung / Referenz</x:v>
      </x:c>
      <x:c r="H7" s="40" t="str">
        <x:v>Version / Index</x:v>
      </x:c>
      <x:c r="I7" s="40" t="str">
        <x:v>Status</x:v>
      </x:c>
      <x:c r="J7" s="40" t="str">
        <x:v>Verantwortlich</x:v>
      </x:c>
      <x:c r="K7" s="40" t="str">
        <x:v>Ablageort / Link</x:v>
      </x:c>
    </x:row>
    <x:row r="8" ht="60" customHeight="1">
      <x:c r="A8" s="54" t="str">
        <x:v>D01</x:v>
      </x:c>
      <x:c r="B8" s="54" t="str">
        <x:v>Eingabe</x:v>
      </x:c>
      <x:c r="C8" s="55" t="str">
        <x:v>Spezifikation der Anforderungen an die Sicherheit der Software (SW-SRS)</x:v>
      </x:c>
      <x:c r="D8" s="55" t="str">
        <x:v>Bezugsgrundlage für Architektur, Entwurf, Implementierung und Tests.</x:v>
      </x:c>
      <x:c r="E8" s="54" t="str">
        <x:v>Z1–Z6, 1–51</x:v>
      </x:c>
      <x:c r="F8" s="55" t="str">
        <x:v>IEC 61508-3, 7.4</x:v>
      </x:c>
      <x:c r="G8" s="58" t="str"/>
      <x:c r="H8" s="64" t="str"/>
      <x:c r="I8" s="64" t="str">
        <x:v>Nicht vorgelegt</x:v>
      </x:c>
      <x:c r="J8" s="58" t="str"/>
      <x:c r="K8" s="58" t="str"/>
    </x:row>
    <x:row r="9" ht="60" customHeight="1">
      <x:c r="A9" s="54" t="str">
        <x:v>D02</x:v>
      </x:c>
      <x:c r="B9" s="54" t="str">
        <x:v>Eingabe</x:v>
      </x:c>
      <x:c r="C9" s="55" t="str">
        <x:v>Spezifikation der Anforderungen an die Sicherheit des E/E/PE-Systems (TSR)</x:v>
      </x:c>
      <x:c r="D9" s="55" t="str">
        <x:v>Übergeordnete technische Sicherheitsanforderungen einschließlich Hardware-Software-Wechselwirkungen.</x:v>
      </x:c>
      <x:c r="E9" s="54" t="str">
        <x:v>Z2, 7.4.3, 7.4.5</x:v>
      </x:c>
      <x:c r="F9" s="55" t="str">
        <x:v>IEC 61508-3, 7.4; IEC 61508-2</x:v>
      </x:c>
      <x:c r="G9" s="58" t="str"/>
      <x:c r="H9" s="64" t="str"/>
      <x:c r="I9" s="64" t="str">
        <x:v>Nicht vorgelegt</x:v>
      </x:c>
      <x:c r="J9" s="58" t="str"/>
      <x:c r="K9" s="58" t="str"/>
    </x:row>
    <x:row r="10" ht="60" customHeight="1">
      <x:c r="A10" s="54" t="str">
        <x:v>D03</x:v>
      </x:c>
      <x:c r="B10" s="54" t="str">
        <x:v>Eingabe / Ausgabe</x:v>
      </x:c>
      <x:c r="C10" s="55" t="str">
        <x:v>Verantwortungszuordnung der Sicherheitsplanung</x:v>
      </x:c>
      <x:c r="D10" s="55" t="str">
        <x:v>Ordnet die Verantwortung für Architektur, Werkzeuge, Entwurf, Implementierung und Tests zu.</x:v>
      </x:c>
      <x:c r="E10" s="54" t="str">
        <x:v>7.4.2–7.4.5</x:v>
      </x:c>
      <x:c r="F10" s="55" t="str">
        <x:v>IEC 61508-3, 7.4.2.1, 7.4.3.1, 7.4.4.1 und 7.4.5.1</x:v>
      </x:c>
      <x:c r="G10" s="58" t="str"/>
      <x:c r="H10" s="64" t="str"/>
      <x:c r="I10" s="64" t="str">
        <x:v>Nicht vorgelegt</x:v>
      </x:c>
      <x:c r="J10" s="58" t="str"/>
      <x:c r="K10" s="58" t="str"/>
    </x:row>
    <x:row r="11" ht="60" customHeight="1">
      <x:c r="A11" s="54" t="str">
        <x:v>D04</x:v>
      </x:c>
      <x:c r="B11" s="54" t="str">
        <x:v>Ausgabe</x:v>
      </x:c>
      <x:c r="C11" s="55" t="str">
        <x:v>Softwarearchitektur-Entwurf (SWAD)</x:v>
      </x:c>
      <x:c r="D11" s="55" t="str">
        <x:v>Beschreibt Struktur, Komponenten, Schnittstellen, Daten- und Kontrollfluss sowie Sicherheitsmechanismen.</x:v>
      </x:c>
      <x:c r="E11" s="54" t="str">
        <x:v>Z1–Z6, 7.4.2–7.4.5</x:v>
      </x:c>
      <x:c r="F11" s="55" t="str">
        <x:v>IEC 61508-3, 7.4.3 und Tabelle A.2</x:v>
      </x:c>
      <x:c r="G11" s="58" t="str"/>
      <x:c r="H11" s="64" t="str"/>
      <x:c r="I11" s="64" t="str">
        <x:v>Nicht vorgelegt</x:v>
      </x:c>
      <x:c r="J11" s="58" t="str"/>
      <x:c r="K11" s="58" t="str"/>
    </x:row>
    <x:row r="12" ht="60" customHeight="1">
      <x:c r="A12" s="54" t="str">
        <x:v>D05</x:v>
      </x:c>
      <x:c r="B12" s="54" t="str">
        <x:v>Ausgabe</x:v>
      </x:c>
      <x:c r="C12" s="55" t="str">
        <x:v>Spezifikation des Integrationstests der Softwarearchitektur</x:v>
      </x:c>
      <x:c r="D12" s="55" t="str">
        <x:v>Legt Integrationsstufen, Testfälle, Umgebung und Kriterien für die Architektur fest.</x:v>
      </x:c>
      <x:c r="E12" s="54" t="str">
        <x:v>7.4.3</x:v>
      </x:c>
      <x:c r="F12" s="55" t="str">
        <x:v>IEC 61508-3, 7.4.3 und Tabelle A.2</x:v>
      </x:c>
      <x:c r="G12" s="58" t="str"/>
      <x:c r="H12" s="64" t="str"/>
      <x:c r="I12" s="64" t="str">
        <x:v>Nicht vorgelegt</x:v>
      </x:c>
      <x:c r="J12" s="58" t="str"/>
      <x:c r="K12" s="58" t="str"/>
    </x:row>
    <x:row r="13" ht="60" customHeight="1">
      <x:c r="A13" s="54" t="str">
        <x:v>D06</x:v>
      </x:c>
      <x:c r="B13" s="54" t="str">
        <x:v>Ausgabe</x:v>
      </x:c>
      <x:c r="C13" s="55" t="str">
        <x:v>Spezifikation des Software-/PE-Integrationstests</x:v>
      </x:c>
      <x:c r="D13" s="55" t="str">
        <x:v>Legt die Prüfung der Verträglichkeit von Software und Zielhardware fest.</x:v>
      </x:c>
      <x:c r="E13" s="54" t="str">
        <x:v>7.4.3</x:v>
      </x:c>
      <x:c r="F13" s="55" t="str">
        <x:v>IEC 61508-3, 7.4.3 und 7.5</x:v>
      </x:c>
      <x:c r="G13" s="58" t="str"/>
      <x:c r="H13" s="64" t="str"/>
      <x:c r="I13" s="64" t="str">
        <x:v>Nicht vorgelegt</x:v>
      </x:c>
      <x:c r="J13" s="58" t="str"/>
      <x:c r="K13" s="58" t="str"/>
    </x:row>
    <x:row r="14" ht="60" customHeight="1">
      <x:c r="A14" s="54" t="str">
        <x:v>D07</x:v>
      </x:c>
      <x:c r="B14" s="54" t="str">
        <x:v>Eingabe / Ausgabe</x:v>
      </x:c>
      <x:c r="C14" s="55" t="str">
        <x:v>Auswahl und Eignungsnachweis der Entwicklungswerkzeuge</x:v>
      </x:c>
      <x:c r="D14" s="55" t="str">
        <x:v>Dokumentiert Werkzeuge, Compiler, Versionen, bekannte Fehler, Vertrauen und Maßnahmen.</x:v>
      </x:c>
      <x:c r="E14" s="54" t="str">
        <x:v>Z3, 7.4.4, 7.4.6</x:v>
      </x:c>
      <x:c r="F14" s="55" t="str">
        <x:v>IEC 61508-3, 7.4.4 und Tabelle A.3</x:v>
      </x:c>
      <x:c r="G14" s="58" t="str"/>
      <x:c r="H14" s="64" t="str"/>
      <x:c r="I14" s="64" t="str">
        <x:v>Nicht vorgelegt</x:v>
      </x:c>
      <x:c r="J14" s="58" t="str"/>
      <x:c r="K14" s="58" t="str"/>
    </x:row>
    <x:row r="15" ht="60" customHeight="1">
      <x:c r="A15" s="54" t="str">
        <x:v>D08</x:v>
      </x:c>
      <x:c r="B15" s="54" t="str">
        <x:v>Eingabe</x:v>
      </x:c>
      <x:c r="C15" s="55" t="str">
        <x:v>Programmierrichtlinien</x:v>
      </x:c>
      <x:c r="D15" s="55" t="str">
        <x:v>Legt Sprachumfang, Programmierregeln, defensive Maßnahmen und Prüfkriterien fest.</x:v>
      </x:c>
      <x:c r="E15" s="54" t="str">
        <x:v>7.4.4–7.4.7</x:v>
      </x:c>
      <x:c r="F15" s="55" t="str">
        <x:v>IEC 61508-3, 7.4.4 und Tabelle A.3</x:v>
      </x:c>
      <x:c r="G15" s="58" t="str"/>
      <x:c r="H15" s="64" t="str"/>
      <x:c r="I15" s="64" t="str">
        <x:v>Nicht vorgelegt</x:v>
      </x:c>
      <x:c r="J15" s="58" t="str"/>
      <x:c r="K15" s="58" t="str"/>
    </x:row>
    <x:row r="16" ht="60" customHeight="1">
      <x:c r="A16" s="54" t="str">
        <x:v>D09</x:v>
      </x:c>
      <x:c r="B16" s="54" t="str">
        <x:v>Ausgabe</x:v>
      </x:c>
      <x:c r="C16" s="55" t="str">
        <x:v>Spezifikation des Software-Systementwurfs (SDS)</x:v>
      </x:c>
      <x:c r="D16" s="55" t="str">
        <x:v>Verfeinert die Architektur zu prüfbaren Hauptelementen, Teilsystemen und Modulen.</x:v>
      </x:c>
      <x:c r="E16" s="54" t="str">
        <x:v>7.4.5</x:v>
      </x:c>
      <x:c r="F16" s="55" t="str">
        <x:v>IEC 61508-3, 7.4.5 und Tabelle A.4</x:v>
      </x:c>
      <x:c r="G16" s="58" t="str"/>
      <x:c r="H16" s="64" t="str"/>
      <x:c r="I16" s="64" t="str">
        <x:v>Nicht vorgelegt</x:v>
      </x:c>
      <x:c r="J16" s="58" t="str"/>
      <x:c r="K16" s="58" t="str"/>
    </x:row>
    <x:row r="17" ht="60" customHeight="1">
      <x:c r="A17" s="54" t="str">
        <x:v>D10</x:v>
      </x:c>
      <x:c r="B17" s="54" t="str">
        <x:v>Ausgabe</x:v>
      </x:c>
      <x:c r="C17" s="55" t="str">
        <x:v>Spezifikation des System-Integrationstests der Software (SW-SITS)</x:v>
      </x:c>
      <x:c r="D17" s="55" t="str">
        <x:v>Legt Softwareintegrationseinheiten, Testfälle, Daten, Umgebung und Kriterien fest.</x:v>
      </x:c>
      <x:c r="E17" s="54" t="str">
        <x:v>7.4.5, 7.4.8</x:v>
      </x:c>
      <x:c r="F17" s="55" t="str">
        <x:v>IEC 61508-3, 7.4.5, 7.4.8 und Tabelle A.5</x:v>
      </x:c>
      <x:c r="G17" s="58" t="str"/>
      <x:c r="H17" s="64" t="str"/>
      <x:c r="I17" s="64" t="str">
        <x:v>Nicht vorgelegt</x:v>
      </x:c>
      <x:c r="J17" s="58" t="str"/>
      <x:c r="K17" s="58" t="str"/>
    </x:row>
    <x:row r="18" ht="60" customHeight="1">
      <x:c r="A18" s="54" t="str">
        <x:v>D11</x:v>
      </x:c>
      <x:c r="B18" s="54" t="str">
        <x:v>Ausgabe</x:v>
      </x:c>
      <x:c r="C18" s="55" t="str">
        <x:v>Spezifikation des Entwurfs der Softwaremodule (SMDS)</x:v>
      </x:c>
      <x:c r="D18" s="55" t="str">
        <x:v>Beschreibt Funktion, Schnittstellen, Daten, Fehlerbehandlung und Verifikation jedes Moduls.</x:v>
      </x:c>
      <x:c r="E18" s="54" t="str">
        <x:v>7.4.5–7.4.7</x:v>
      </x:c>
      <x:c r="F18" s="55" t="str">
        <x:v>IEC 61508-3, 7.4.5 und Tabelle A.4</x:v>
      </x:c>
      <x:c r="G18" s="58" t="str"/>
      <x:c r="H18" s="64" t="str"/>
      <x:c r="I18" s="64" t="str">
        <x:v>Nicht vorgelegt</x:v>
      </x:c>
      <x:c r="J18" s="58" t="str"/>
      <x:c r="K18" s="58" t="str"/>
    </x:row>
    <x:row r="19" ht="60" customHeight="1">
      <x:c r="A19" s="54" t="str">
        <x:v>D12</x:v>
      </x:c>
      <x:c r="B19" s="54" t="str">
        <x:v>Ausgabe</x:v>
      </x:c>
      <x:c r="C19" s="55" t="str">
        <x:v>Testspezifikation der Softwaremodule (SMTS)</x:v>
      </x:c>
      <x:c r="D19" s="55" t="str">
        <x:v>Legt Testfälle, Testdaten, erwartete Ergebnisse und Akzeptanzkriterien je Modul fest.</x:v>
      </x:c>
      <x:c r="E19" s="54" t="str">
        <x:v>7.4.5, 7.4.7</x:v>
      </x:c>
      <x:c r="F19" s="55" t="str">
        <x:v>IEC 61508-3, 7.4.5, 7.4.7 und Tabelle A.5</x:v>
      </x:c>
      <x:c r="G19" s="58" t="str"/>
      <x:c r="H19" s="64" t="str"/>
      <x:c r="I19" s="64" t="str">
        <x:v>Nicht vorgelegt</x:v>
      </x:c>
      <x:c r="J19" s="58" t="str"/>
      <x:c r="K19" s="58" t="str"/>
    </x:row>
    <x:row r="20" ht="60" customHeight="1">
      <x:c r="A20" s="54" t="str">
        <x:v>D13</x:v>
      </x:c>
      <x:c r="B20" s="54" t="str">
        <x:v>Ausgabe</x:v>
      </x:c>
      <x:c r="C20" s="55" t="str">
        <x:v>Source-Code</x:v>
      </x:c>
      <x:c r="D20" s="55" t="str">
        <x:v>Implementiert die freigegebenen Modul- und Systementwürfe in der festgelegten Sprache und Konfiguration.</x:v>
      </x:c>
      <x:c r="E20" s="54" t="str">
        <x:v>7.4.6–7.4.8</x:v>
      </x:c>
      <x:c r="F20" s="55" t="str">
        <x:v>IEC 61508-3, 7.4.6</x:v>
      </x:c>
      <x:c r="G20" s="58" t="str"/>
      <x:c r="H20" s="64" t="str"/>
      <x:c r="I20" s="64" t="str">
        <x:v>Nicht vorgelegt</x:v>
      </x:c>
      <x:c r="J20" s="58" t="str"/>
      <x:c r="K20" s="58" t="str"/>
    </x:row>
    <x:row r="21" ht="60" customHeight="1">
      <x:c r="A21" s="54" t="str">
        <x:v>D14</x:v>
      </x:c>
      <x:c r="B21" s="54" t="str">
        <x:v>Ausgabe</x:v>
      </x:c>
      <x:c r="C21" s="55" t="str">
        <x:v>Bericht der Codeüberprüfung</x:v>
      </x:c>
      <x:c r="D21" s="55" t="str">
        <x:v>Dokumentiert statische Prüfung, Richtlinienkonformität, Befunde und Korrekturen.</x:v>
      </x:c>
      <x:c r="E21" s="54" t="str">
        <x:v>7.4.6</x:v>
      </x:c>
      <x:c r="F21" s="55" t="str">
        <x:v>IEC 61508-3, 7.4.6 und 7.9</x:v>
      </x:c>
      <x:c r="G21" s="58" t="str"/>
      <x:c r="H21" s="64" t="str"/>
      <x:c r="I21" s="64" t="str">
        <x:v>Nicht vorgelegt</x:v>
      </x:c>
      <x:c r="J21" s="58" t="str"/>
      <x:c r="K21" s="58" t="str"/>
    </x:row>
    <x:row r="22" ht="60" customHeight="1">
      <x:c r="A22" s="54" t="str">
        <x:v>D15</x:v>
      </x:c>
      <x:c r="B22" s="54" t="str">
        <x:v>Ausgabe</x:v>
      </x:c>
      <x:c r="C22" s="55" t="str">
        <x:v>Ergebnisse der Tests der Softwaremodule</x:v>
      </x:c>
      <x:c r="D22" s="55" t="str">
        <x:v>Enthält Soll-/Ist-Ergebnisse, Abdeckung, Abweichungen und Abschlussbewertung.</x:v>
      </x:c>
      <x:c r="E22" s="54" t="str">
        <x:v>7.4.7</x:v>
      </x:c>
      <x:c r="F22" s="55" t="str">
        <x:v>IEC 61508-3, 7.4.7</x:v>
      </x:c>
      <x:c r="G22" s="58" t="str"/>
      <x:c r="H22" s="64" t="str"/>
      <x:c r="I22" s="64" t="str">
        <x:v>Nicht vorgelegt</x:v>
      </x:c>
      <x:c r="J22" s="58" t="str"/>
      <x:c r="K22" s="58" t="str"/>
    </x:row>
    <x:row r="23" ht="60" customHeight="1">
      <x:c r="A23" s="54" t="str">
        <x:v>D16</x:v>
      </x:c>
      <x:c r="B23" s="54" t="str">
        <x:v>Ausgabe</x:v>
      </x:c>
      <x:c r="C23" s="55" t="str">
        <x:v>Verifizierte und getestete Softwaremodule</x:v>
      </x:c>
      <x:c r="D23" s="55" t="str">
        <x:v>Kennzeichnet die geprüften Modulversionen und zugehörigen Nachweise.</x:v>
      </x:c>
      <x:c r="E23" s="54" t="str">
        <x:v>7.4.7, 7.4.8</x:v>
      </x:c>
      <x:c r="F23" s="55" t="str">
        <x:v>IEC 61508-3, 7.4.7</x:v>
      </x:c>
      <x:c r="G23" s="58" t="str"/>
      <x:c r="H23" s="64" t="str"/>
      <x:c r="I23" s="64" t="str">
        <x:v>Nicht vorgelegt</x:v>
      </x:c>
      <x:c r="J23" s="58" t="str"/>
      <x:c r="K23" s="58" t="str"/>
    </x:row>
    <x:row r="24" ht="60" customHeight="1">
      <x:c r="A24" s="54" t="str">
        <x:v>D17</x:v>
      </x:c>
      <x:c r="B24" s="54" t="str">
        <x:v>Ausgabe</x:v>
      </x:c>
      <x:c r="C24" s="55" t="str">
        <x:v>Ergebnisse der Software-Integrationstests</x:v>
      </x:c>
      <x:c r="D24" s="55" t="str">
        <x:v>Dokumentiert Integration, Zusammenarbeit der Module, Abweichungen und Kriterienerfüllung.</x:v>
      </x:c>
      <x:c r="E24" s="54" t="str">
        <x:v>7.4.8</x:v>
      </x:c>
      <x:c r="F24" s="55" t="str">
        <x:v>IEC 61508-3, 7.4.8</x:v>
      </x:c>
      <x:c r="G24" s="58" t="str"/>
      <x:c r="H24" s="64" t="str"/>
      <x:c r="I24" s="64" t="str">
        <x:v>Nicht vorgelegt</x:v>
      </x:c>
      <x:c r="J24" s="58" t="str"/>
      <x:c r="K24" s="58" t="str"/>
    </x:row>
    <x:row r="25" ht="60" customHeight="1">
      <x:c r="A25" s="54" t="str">
        <x:v>D18</x:v>
      </x:c>
      <x:c r="B25" s="54" t="str">
        <x:v>Ausgabe</x:v>
      </x:c>
      <x:c r="C25" s="55" t="str">
        <x:v>Verifiziertes und getestetes Softwaresystem</x:v>
      </x:c>
      <x:c r="D25" s="55" t="str">
        <x:v>Kennzeichnet den geprüften integrierten Softwarestand als Eingabe nachfolgender Phasen.</x:v>
      </x:c>
      <x:c r="E25" s="54" t="str">
        <x:v>7.4.8</x:v>
      </x:c>
      <x:c r="F25" s="55" t="str">
        <x:v>IEC 61508-3, 7.4.8</x:v>
      </x:c>
      <x:c r="G25" s="58" t="str"/>
      <x:c r="H25" s="64" t="str"/>
      <x:c r="I25" s="64" t="str">
        <x:v>Nicht vorgelegt</x:v>
      </x:c>
      <x:c r="J25" s="58" t="str"/>
      <x:c r="K25" s="58" t="str"/>
    </x:row>
    <x:row r="26" ht="60" customHeight="1">
      <x:c r="A26" s="54" t="str">
        <x:v>D19</x:v>
      </x:c>
      <x:c r="B26" s="54" t="str">
        <x:v>Eingabe</x:v>
      </x:c>
      <x:c r="C26" s="55" t="str">
        <x:v>Validierungsplan für die Softwareaspekte der Systemsicherheit</x:v>
      </x:c>
      <x:c r="D26" s="55" t="str">
        <x:v>Stellt sicher, dass Architektur und Entwurf die spätere Validierung unterstützen.</x:v>
      </x:c>
      <x:c r="E26" s="54" t="str">
        <x:v>7.4.3, 7.4.5</x:v>
      </x:c>
      <x:c r="F26" s="55" t="str">
        <x:v>IEC 61508-3, 7.3 und 7.4</x:v>
      </x:c>
      <x:c r="G26" s="58" t="str"/>
      <x:c r="H26" s="64" t="str"/>
      <x:c r="I26" s="64" t="str">
        <x:v>Nicht vorgelegt</x:v>
      </x:c>
      <x:c r="J26" s="58" t="str"/>
      <x:c r="K26" s="58" t="str"/>
    </x:row>
    <x:row r="27" ht="60" customHeight="1">
      <x:c r="A27" s="54" t="str">
        <x:v>D20</x:v>
      </x:c>
      <x:c r="B27" s="54" t="str">
        <x:v>Eingabe / Ausgabe</x:v>
      </x:c>
      <x:c r="C27" s="55" t="str">
        <x:v>Bewertung wiederverwendeter oder bereits vorhandener Software</x:v>
      </x:c>
      <x:c r="D27" s="55" t="str">
        <x:v>Belegt Eignung, Betriebsbewährung, Einschränkungen und zusätzliche Verifikation.</x:v>
      </x:c>
      <x:c r="E27" s="54" t="str">
        <x:v>7.4.2, 7.4.6</x:v>
      </x:c>
      <x:c r="F27" s="55" t="str">
        <x:v>IEC 61508-3, 7.4.2 und 7.4.6</x:v>
      </x:c>
      <x:c r="G27" s="58" t="str"/>
      <x:c r="H27" s="64" t="str"/>
      <x:c r="I27" s="64" t="str">
        <x:v>Nicht vorgelegt</x:v>
      </x:c>
      <x:c r="J27" s="58" t="str"/>
      <x:c r="K27" s="58" t="str"/>
    </x:row>
    <x:row r="28" ht="60" customHeight="1">
      <x:c r="A28" s="54" t="str">
        <x:v>D21</x:v>
      </x:c>
      <x:c r="B28" s="54" t="str">
        <x:v>Eingabe / Ausgabe</x:v>
      </x:c>
      <x:c r="C28" s="55" t="str">
        <x:v>Daten- und Konfigurationsspezifikation</x:v>
      </x:c>
      <x:c r="D28" s="55" t="str">
        <x:v>Definiert Datenstrukturen, Parameter, Wertebereiche, Schutz und Kompatibilität.</x:v>
      </x:c>
      <x:c r="E28" s="54" t="str">
        <x:v>Z6, 7.4.2–7.4.6</x:v>
      </x:c>
      <x:c r="F28" s="55" t="str">
        <x:v>IEC 61508-3, 7.4</x:v>
      </x:c>
      <x:c r="G28" s="58" t="str"/>
      <x:c r="H28" s="64" t="str"/>
      <x:c r="I28" s="64" t="str">
        <x:v>Nicht vorgelegt</x:v>
      </x:c>
      <x:c r="J28" s="58" t="str"/>
      <x:c r="K28" s="58" t="str"/>
    </x:row>
    <x:row r="29" ht="60" customHeight="1">
      <x:c r="A29" s="54" t="str">
        <x:v>D22</x:v>
      </x:c>
      <x:c r="B29" s="54" t="str">
        <x:v>Ausgabe</x:v>
      </x:c>
      <x:c r="C29" s="55" t="str">
        <x:v>Rückverfolgbarkeitsmatrix Anforderungen–Entwurf–Code–Tests</x:v>
      </x:c>
      <x:c r="D29" s="55" t="str">
        <x:v>Stellt bidirektionale Zuordnung sämtlicher Sicherheitsanforderungen und Nachweise her.</x:v>
      </x:c>
      <x:c r="E29" s="54" t="str">
        <x:v>7.4.3–7.4.8</x:v>
      </x:c>
      <x:c r="F29" s="55" t="str">
        <x:v>IEC 61508-7, C.2.11; IEC 61508-3, Tabellen A.2–A.5</x:v>
      </x:c>
      <x:c r="G29" s="58" t="str"/>
      <x:c r="H29" s="64" t="str"/>
      <x:c r="I29" s="64" t="str">
        <x:v>Nicht vorgelegt</x:v>
      </x:c>
      <x:c r="J29" s="58" t="str"/>
      <x:c r="K29" s="58" t="str"/>
    </x:row>
    <x:row r="30" ht="60" customHeight="1">
      <x:c r="A30" s="54" t="str">
        <x:v>D23</x:v>
      </x:c>
      <x:c r="B30" s="54" t="str">
        <x:v>Ausgabe</x:v>
      </x:c>
      <x:c r="C30" s="55" t="str">
        <x:v>Einflussanalysen und Änderungsaufzeichnungen</x:v>
      </x:c>
      <x:c r="D30" s="55" t="str">
        <x:v>Bewertet Modifikationen während Entwurf, Implementierung und Integration.</x:v>
      </x:c>
      <x:c r="E30" s="54" t="str">
        <x:v>7.4.2, 7.4.8</x:v>
      </x:c>
      <x:c r="F30" s="55" t="str">
        <x:v>IEC 61508-3, 7.4 und 7.8</x:v>
      </x:c>
      <x:c r="G30" s="58" t="str"/>
      <x:c r="H30" s="64" t="str"/>
      <x:c r="I30" s="64" t="str">
        <x:v>Nicht vorgelegt</x:v>
      </x:c>
      <x:c r="J30" s="58" t="str"/>
      <x:c r="K30" s="58" t="str"/>
    </x:row>
    <x:row r="31" ht="60" customHeight="1">
      <x:c r="A31" s="54" t="str">
        <x:v>D24</x:v>
      </x:c>
      <x:c r="B31" s="54" t="str">
        <x:v>Ausgabe</x:v>
      </x:c>
      <x:c r="C31" s="55" t="str">
        <x:v>Architektur- und Entwurfsbegründungen</x:v>
      </x:c>
      <x:c r="D31" s="55" t="str">
        <x:v>Dokumentiert Annahmen, Komplexitätsbegrenzung, Modularität, Unabhängigkeit und Sicherheitsmechanismen.</x:v>
      </x:c>
      <x:c r="E31" s="54" t="str">
        <x:v>7.4.2–7.4.5</x:v>
      </x:c>
      <x:c r="F31" s="55" t="str">
        <x:v>IEC 61508-3, 7.4.2 bis 7.4.5</x:v>
      </x:c>
      <x:c r="G31" s="58" t="str"/>
      <x:c r="H31" s="64" t="str"/>
      <x:c r="I31" s="64" t="str">
        <x:v>Nicht vorgelegt</x:v>
      </x:c>
      <x:c r="J31" s="58" t="str"/>
      <x:c r="K31" s="58" t="str"/>
    </x:row>
    <x:row r="32" ht="60" customHeight="1">
      <x:c r="A32" s="54" t="str">
        <x:v>D25</x:v>
      </x:c>
      <x:c r="B32" s="54" t="str">
        <x:v>Eingabe / Ausgabe</x:v>
      </x:c>
      <x:c r="C32" s="55" t="str">
        <x:v>Werkzeug-, Compiler- und Build-Konfiguration</x:v>
      </x:c>
      <x:c r="D32" s="55" t="str">
        <x:v>Kennzeichnet Versionen, Optionen, Bibliotheken, Laufzeitumgebung und reproduzierbaren Build.</x:v>
      </x:c>
      <x:c r="E32" s="54" t="str">
        <x:v>Z3, 7.4.4–7.4.8</x:v>
      </x:c>
      <x:c r="F32" s="55" t="str">
        <x:v>IEC 61508-3, 7.4.4</x:v>
      </x:c>
      <x:c r="G32" s="58" t="str"/>
      <x:c r="H32" s="64" t="str"/>
      <x:c r="I32" s="64" t="str">
        <x:v>Nicht vorgelegt</x:v>
      </x:c>
      <x:c r="J32" s="58" t="str"/>
      <x:c r="K32" s="58" t="str"/>
    </x:row>
    <x:row r="33" ht="60" customHeight="1">
      <x:c r="A33" s="54" t="str">
        <x:v>D26</x:v>
      </x:c>
      <x:c r="B33" s="54" t="str">
        <x:v>Ausgabe</x:v>
      </x:c>
      <x:c r="C33" s="55" t="str">
        <x:v>Verifikationsergebnisse und abgeschlossene Befunde</x:v>
      </x:c>
      <x:c r="D33" s="55" t="str">
        <x:v>Fasst Reviews, Analysen, Tests, Abweichungen und Korrekturabschlüsse zusammen.</x:v>
      </x:c>
      <x:c r="E33" s="54" t="str">
        <x:v>Z5, 7.4.2–7.4.8</x:v>
      </x:c>
      <x:c r="F33" s="55" t="str">
        <x:v>IEC 61508-3, 7.4 und 7.9</x:v>
      </x:c>
      <x:c r="G33" s="58" t="str"/>
      <x:c r="H33" s="64" t="str"/>
      <x:c r="I33" s="64" t="str">
        <x:v>Nicht vorgelegt</x:v>
      </x:c>
      <x:c r="J33" s="58" t="str"/>
      <x:c r="K33" s="58" t="str"/>
    </x:row>
    <x:row r="34" ht="56" customHeight="1">
      <x:c r="A34" s="43"/>
      <x:c r="B34" s="43"/>
      <x:c r="C34" s="41"/>
      <x:c r="D34" s="41"/>
      <x:c r="E34" s="43"/>
      <x:c r="F34" s="41"/>
      <x:c r="G34" s="19"/>
      <x:c r="H34" s="44"/>
      <x:c r="I34" s="44"/>
      <x:c r="J34" s="19"/>
      <x:c r="K34" s="19"/>
    </x:row>
    <x:row r="35" ht="56" customHeight="1">
      <x:c r="A35" s="43"/>
      <x:c r="B35" s="43"/>
      <x:c r="C35" s="41"/>
      <x:c r="D35" s="41"/>
      <x:c r="E35" s="43"/>
      <x:c r="F35" s="41"/>
      <x:c r="G35" s="19"/>
      <x:c r="H35" s="44"/>
      <x:c r="I35" s="44"/>
      <x:c r="J35" s="19"/>
      <x:c r="K35" s="19"/>
    </x:row>
    <x:row r="36" ht="56" customHeight="1">
      <x:c r="A36" s="43"/>
      <x:c r="B36" s="43"/>
      <x:c r="C36" s="41"/>
      <x:c r="D36" s="41"/>
      <x:c r="E36" s="43"/>
      <x:c r="F36" s="41"/>
      <x:c r="G36" s="19"/>
      <x:c r="H36" s="44"/>
      <x:c r="I36" s="44"/>
      <x:c r="J36" s="19"/>
      <x:c r="K36" s="19"/>
    </x:row>
    <x:row r="37" ht="56" customHeight="1">
      <x:c r="A37" s="43"/>
      <x:c r="B37" s="43"/>
      <x:c r="C37" s="41"/>
      <x:c r="D37" s="41"/>
      <x:c r="E37" s="43"/>
      <x:c r="F37" s="41"/>
      <x:c r="G37" s="19"/>
      <x:c r="H37" s="44"/>
      <x:c r="I37" s="44"/>
      <x:c r="J37" s="19"/>
      <x:c r="K37" s="19"/>
    </x:row>
    <x:row r="38" ht="56" customHeight="1">
      <x:c r="A38" s="43"/>
      <x:c r="B38" s="43"/>
      <x:c r="C38" s="41"/>
      <x:c r="D38" s="41"/>
      <x:c r="E38" s="43"/>
      <x:c r="F38" s="41"/>
      <x:c r="G38" s="19"/>
      <x:c r="H38" s="44"/>
      <x:c r="I38" s="44"/>
      <x:c r="J38" s="19"/>
      <x:c r="K38" s="19"/>
    </x:row>
    <x:row r="39" ht="56" customHeight="1">
      <x:c r="A39" s="43"/>
      <x:c r="B39" s="43"/>
      <x:c r="C39" s="41"/>
      <x:c r="D39" s="41"/>
      <x:c r="E39" s="43"/>
      <x:c r="F39" s="41"/>
      <x:c r="G39" s="19"/>
      <x:c r="H39" s="44"/>
      <x:c r="I39" s="44"/>
      <x:c r="J39" s="19"/>
      <x:c r="K39" s="19"/>
    </x:row>
    <x:row r="40" ht="56" customHeight="1">
      <x:c r="A40" s="43"/>
      <x:c r="B40" s="43"/>
      <x:c r="C40" s="41"/>
      <x:c r="D40" s="41"/>
      <x:c r="E40" s="43"/>
      <x:c r="F40" s="41"/>
      <x:c r="G40" s="19"/>
      <x:c r="H40" s="44"/>
      <x:c r="I40" s="44"/>
      <x:c r="J40" s="19"/>
      <x:c r="K40" s="19"/>
    </x:row>
    <x:row r="41" ht="56" customHeight="1">
      <x:c r="A41" s="43"/>
      <x:c r="B41" s="43"/>
      <x:c r="C41" s="41"/>
      <x:c r="D41" s="41"/>
      <x:c r="E41" s="43"/>
      <x:c r="F41" s="41"/>
      <x:c r="G41" s="19"/>
      <x:c r="H41" s="44"/>
      <x:c r="I41" s="44"/>
      <x:c r="J41" s="19"/>
      <x:c r="K41" s="19"/>
    </x:row>
    <x:row r="42" ht="56" customHeight="1">
      <x:c r="A42" s="43"/>
      <x:c r="B42" s="43"/>
      <x:c r="C42" s="41"/>
      <x:c r="D42" s="41"/>
      <x:c r="E42" s="43"/>
      <x:c r="F42" s="41"/>
      <x:c r="G42" s="19"/>
      <x:c r="H42" s="44"/>
      <x:c r="I42" s="44"/>
      <x:c r="J42" s="19"/>
      <x:c r="K42" s="19"/>
    </x:row>
    <x:row r="43" ht="56" customHeight="1">
      <x:c r="A43" s="43"/>
      <x:c r="B43" s="43"/>
      <x:c r="C43" s="41"/>
      <x:c r="D43" s="41"/>
      <x:c r="E43" s="43"/>
      <x:c r="F43" s="41"/>
      <x:c r="G43" s="19"/>
      <x:c r="H43" s="44"/>
      <x:c r="I43" s="44"/>
      <x:c r="J43" s="19"/>
      <x:c r="K43" s="19"/>
    </x:row>
    <x:row r="44" ht="56" customHeight="1">
      <x:c r="A44" s="43"/>
      <x:c r="B44" s="43"/>
      <x:c r="C44" s="41"/>
      <x:c r="D44" s="41"/>
      <x:c r="E44" s="43"/>
      <x:c r="F44" s="41"/>
      <x:c r="G44" s="19"/>
      <x:c r="H44" s="44"/>
      <x:c r="I44" s="44"/>
      <x:c r="J44" s="19"/>
      <x:c r="K44" s="19"/>
    </x:row>
    <x:row r="45">
      <x:c r="A45" s="2"/>
      <x:c r="B45" s="2"/>
      <x:c r="C45" s="2"/>
      <x:c r="D45" s="2"/>
      <x:c r="E45" s="2"/>
      <x:c r="F45" s="2"/>
      <x:c r="G45" s="2"/>
      <x:c r="H45" s="2"/>
      <x:c r="I45" s="2"/>
      <x:c r="J45" s="2"/>
      <x:c r="K45" s="2"/>
    </x:row>
  </x:sheetData>
  <x:mergeCells>
    <x:mergeCell ref="A1:K2"/>
    <x:mergeCell ref="A3:K3"/>
  </x:mergeCells>
  <x:conditionalFormatting sqref="B8:B44">
    <x:cfRule type="expression" dxfId="4" priority="1">
      <x:formula>B8="Eingabe"</x:formula>
    </x:cfRule>
    <x:cfRule type="expression" dxfId="5" priority="2">
      <x:formula>B8="Ausgabe"</x:formula>
    </x:cfRule>
    <x:cfRule type="expression" dxfId="6" priority="3">
      <x:formula>B8="Eingabe / Ausgabe"</x:formula>
    </x:cfRule>
  </x:conditionalFormatting>
  <x:conditionalFormatting sqref="I8:I44">
    <x:cfRule type="expression" dxfId="7" priority="4">
      <x:formula>I8="Geprüft"</x:formula>
    </x:cfRule>
    <x:cfRule type="expression" dxfId="8" priority="5">
      <x:formula>I8="Freigegeben"</x:formula>
    </x:cfRule>
    <x:cfRule type="expression" dxfId="9" priority="6">
      <x:formula>I8="Nicht vorgelegt"</x:formula>
    </x:cfRule>
  </x:conditionalFormatting>
  <x:dataValidations count="2">
    <x:dataValidation type="list" sqref="I8:I44">
      <x:formula1>"Nicht vorgelegt,Vorgelegt,In Prüfung,Geprüft,Freigegeben,Nicht anwendbar"</x:formula1>
    </x:dataValidation>
    <x:dataValidation type="list" sqref="I8:I33">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0cff8595e2a740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58" hidden="0" customWidth="1"/>
    <x:col min="4" max="4" width="18" hidden="0" customWidth="1"/>
    <x:col min="5" max="5" width="22" hidden="0" customWidth="1"/>
    <x:col min="6" max="6" width="14" hidden="0" customWidth="1"/>
    <x:col min="7" max="7" width="20" hidden="0" customWidth="1"/>
  </x:cols>
  <x:sheetData>
    <x:row r="1" ht="34" customHeight="1">
      <x:c r="A1" s="6" t="str">
        <x:v>Review-Ergebnisse und durchzuführende Maßnahmen</x:v>
      </x:c>
      <x:c r="B1" s="6" t="str">
        <x:v>Review-Ergebnisse und durchzuführende Maßnahmen</x:v>
      </x:c>
      <x:c r="C1" s="6" t="str">
        <x:v>Review-Ergebnisse und durchzuführende Maßnahmen</x:v>
      </x:c>
      <x:c r="D1" s="6" t="str">
        <x:v>Review-Ergebnisse und durchzuführende Maßnahmen</x:v>
      </x:c>
      <x:c r="E1" s="6" t="str">
        <x:v>Review-Ergebnisse und durchzuführende Maßnahmen</x:v>
      </x:c>
      <x:c r="F1" s="6" t="str">
        <x:v>Review-Ergebnisse und durchzuführende Maßnahmen</x:v>
      </x:c>
      <x:c r="G1" s="6" t="str">
        <x:v>Review-Ergebnisse und durchzuführende Maßnahmen</x:v>
      </x:c>
    </x:row>
    <x:row r="2" ht="34" customHeight="1">
      <x:c r="A2" s="6" t="str">
        <x:v>Review-Ergebnisse und durchzuführende Maßnahmen</x:v>
      </x:c>
      <x:c r="B2" s="6" t="str">
        <x:v>Review-Ergebnisse und durchzuführende Maßnahmen</x:v>
      </x:c>
      <x:c r="C2" s="6" t="str">
        <x:v>Review-Ergebnisse und durchzuführende Maßnahmen</x:v>
      </x:c>
      <x:c r="D2" s="6" t="str">
        <x:v>Review-Ergebnisse und durchzuführende Maßnahmen</x:v>
      </x:c>
      <x:c r="E2" s="6" t="str">
        <x:v>Review-Ergebnisse und durchzuführende Maßnahmen</x:v>
      </x:c>
      <x:c r="F2" s="6" t="str">
        <x:v>Review-Ergebnisse und durchzuführende Maßnahmen</x:v>
      </x:c>
      <x:c r="G2" s="6" t="str">
        <x:v>Review-Ergebnisse und durchzuführende Maßnahmen</x:v>
      </x:c>
    </x:row>
    <x:row r="3">
      <x:c r="A3" s="8" t="str">
        <x:v>A = Aufgabe · I = Information · B = Beschluss. Der Bezug zum Prüfpunkt ermöglicht die direkte Rückverfolgung.</x:v>
      </x:c>
      <x:c r="B3" s="8"/>
      <x:c r="C3" s="8"/>
      <x:c r="D3" s="8"/>
      <x:c r="E3" s="8"/>
      <x:c r="F3" s="8"/>
      <x:c r="G3" s="8"/>
    </x:row>
    <x:row r="4">
      <x:c r="A4" s="2"/>
      <x:c r="B4" s="2"/>
      <x:c r="C4" s="2"/>
      <x:c r="D4" s="2"/>
      <x:c r="E4" s="2"/>
      <x:c r="F4" s="2"/>
      <x:c r="G4" s="2"/>
    </x:row>
    <x:row r="5">
      <x:c r="A5" s="40" t="str">
        <x:v>ID</x:v>
      </x:c>
      <x:c r="B5" s="40" t="str">
        <x:v>Typ</x:v>
      </x:c>
      <x:c r="C5" s="40" t="str">
        <x:v>Review-Ergebnis / Maßnahme</x:v>
      </x:c>
      <x:c r="D5" s="40" t="str">
        <x:v>Bezug Prüfpunkt</x:v>
      </x:c>
      <x:c r="E5" s="40" t="str">
        <x:v>Verantwortlich</x:v>
      </x:c>
      <x:c r="F5" s="40" t="str">
        <x:v>Fällig am</x:v>
      </x:c>
      <x:c r="G5" s="40" t="str">
        <x:v>Status</x:v>
      </x:c>
    </x:row>
    <x:row r="6" ht="34" customHeight="1">
      <x:c r="A6" s="40" t="str">
        <x:v>M-01</x:v>
      </x:c>
      <x:c r="B6" s="19" t="str"/>
      <x:c r="C6" s="19" t="str"/>
      <x:c r="D6" s="19" t="str"/>
      <x:c r="E6" s="19" t="str"/>
      <x:c r="F6" s="20" t="str"/>
      <x:c r="G6" s="19" t="str">
        <x:v>Offen</x:v>
      </x:c>
    </x:row>
    <x:row r="7" ht="34" customHeight="1">
      <x:c r="A7" s="40" t="str">
        <x:v>M-02</x:v>
      </x:c>
      <x:c r="B7" s="19" t="str"/>
      <x:c r="C7" s="19" t="str"/>
      <x:c r="D7" s="19" t="str"/>
      <x:c r="E7" s="19" t="str"/>
      <x:c r="F7" s="20" t="str"/>
      <x:c r="G7" s="19" t="str">
        <x:v>Offen</x:v>
      </x:c>
    </x:row>
    <x:row r="8" ht="34" customHeight="1">
      <x:c r="A8" s="40" t="str">
        <x:v>M-03</x:v>
      </x:c>
      <x:c r="B8" s="19" t="str"/>
      <x:c r="C8" s="19" t="str"/>
      <x:c r="D8" s="19" t="str"/>
      <x:c r="E8" s="19" t="str"/>
      <x:c r="F8" s="20" t="str"/>
      <x:c r="G8" s="19" t="str">
        <x:v>Offen</x:v>
      </x:c>
    </x:row>
    <x:row r="9" ht="34" customHeight="1">
      <x:c r="A9" s="40" t="str">
        <x:v>M-04</x:v>
      </x:c>
      <x:c r="B9" s="19" t="str"/>
      <x:c r="C9" s="19" t="str"/>
      <x:c r="D9" s="19" t="str"/>
      <x:c r="E9" s="19" t="str"/>
      <x:c r="F9" s="20" t="str"/>
      <x:c r="G9" s="19" t="str">
        <x:v>Offen</x:v>
      </x:c>
    </x:row>
    <x:row r="10" ht="34" customHeight="1">
      <x:c r="A10" s="40" t="str">
        <x:v>M-05</x:v>
      </x:c>
      <x:c r="B10" s="19" t="str"/>
      <x:c r="C10" s="19" t="str"/>
      <x:c r="D10" s="19" t="str"/>
      <x:c r="E10" s="19" t="str"/>
      <x:c r="F10" s="20" t="str"/>
      <x:c r="G10" s="19" t="str">
        <x:v>Offen</x:v>
      </x:c>
    </x:row>
    <x:row r="11" ht="34" customHeight="1">
      <x:c r="A11" s="40" t="str">
        <x:v>M-06</x:v>
      </x:c>
      <x:c r="B11" s="19" t="str"/>
      <x:c r="C11" s="19" t="str"/>
      <x:c r="D11" s="19" t="str"/>
      <x:c r="E11" s="19" t="str"/>
      <x:c r="F11" s="20" t="str"/>
      <x:c r="G11" s="19" t="str">
        <x:v>Offen</x:v>
      </x:c>
    </x:row>
    <x:row r="12" ht="34" customHeight="1">
      <x:c r="A12" s="40" t="str">
        <x:v>M-07</x:v>
      </x:c>
      <x:c r="B12" s="19" t="str"/>
      <x:c r="C12" s="19" t="str"/>
      <x:c r="D12" s="19" t="str"/>
      <x:c r="E12" s="19" t="str"/>
      <x:c r="F12" s="20" t="str"/>
      <x:c r="G12" s="19" t="str">
        <x:v>Offen</x:v>
      </x:c>
    </x:row>
    <x:row r="13" ht="34" customHeight="1">
      <x:c r="A13" s="40" t="str">
        <x:v>M-08</x:v>
      </x:c>
      <x:c r="B13" s="19" t="str"/>
      <x:c r="C13" s="19" t="str"/>
      <x:c r="D13" s="19" t="str"/>
      <x:c r="E13" s="19" t="str"/>
      <x:c r="F13" s="20" t="str"/>
      <x:c r="G13" s="19" t="str">
        <x:v>Offen</x:v>
      </x:c>
    </x:row>
    <x:row r="14" ht="34" customHeight="1">
      <x:c r="A14" s="40" t="str">
        <x:v>M-09</x:v>
      </x:c>
      <x:c r="B14" s="19" t="str"/>
      <x:c r="C14" s="19" t="str"/>
      <x:c r="D14" s="19" t="str"/>
      <x:c r="E14" s="19" t="str"/>
      <x:c r="F14" s="20" t="str"/>
      <x:c r="G14" s="19" t="str">
        <x:v>Offen</x:v>
      </x:c>
    </x:row>
    <x:row r="15" ht="34" customHeight="1">
      <x:c r="A15" s="40" t="str">
        <x:v>M-10</x:v>
      </x:c>
      <x:c r="B15" s="19" t="str"/>
      <x:c r="C15" s="19" t="str"/>
      <x:c r="D15" s="19" t="str"/>
      <x:c r="E15" s="19" t="str"/>
      <x:c r="F15" s="20" t="str"/>
      <x:c r="G15" s="19" t="str">
        <x:v>Offen</x:v>
      </x:c>
    </x:row>
    <x:row r="16" ht="34" customHeight="1">
      <x:c r="A16" s="40" t="str">
        <x:v>M-11</x:v>
      </x:c>
      <x:c r="B16" s="19" t="str"/>
      <x:c r="C16" s="19" t="str"/>
      <x:c r="D16" s="19" t="str"/>
      <x:c r="E16" s="19" t="str"/>
      <x:c r="F16" s="20" t="str"/>
      <x:c r="G16" s="19" t="str">
        <x:v>Offen</x:v>
      </x:c>
    </x:row>
    <x:row r="17" ht="34" customHeight="1">
      <x:c r="A17" s="40" t="str">
        <x:v>M-12</x:v>
      </x:c>
      <x:c r="B17" s="19" t="str"/>
      <x:c r="C17" s="19" t="str"/>
      <x:c r="D17" s="19" t="str"/>
      <x:c r="E17" s="19" t="str"/>
      <x:c r="F17" s="20" t="str"/>
      <x:c r="G17" s="19" t="str">
        <x:v>Offen</x:v>
      </x:c>
    </x:row>
    <x:row r="18" ht="34" customHeight="1">
      <x:c r="A18" s="40" t="str">
        <x:v>M-13</x:v>
      </x:c>
      <x:c r="B18" s="19" t="str"/>
      <x:c r="C18" s="19" t="str"/>
      <x:c r="D18" s="19" t="str"/>
      <x:c r="E18" s="19" t="str"/>
      <x:c r="F18" s="20" t="str"/>
      <x:c r="G18" s="19" t="str">
        <x:v>Offen</x:v>
      </x:c>
    </x:row>
    <x:row r="19" ht="34" customHeight="1">
      <x:c r="A19" s="40" t="str">
        <x:v>M-14</x:v>
      </x:c>
      <x:c r="B19" s="19" t="str"/>
      <x:c r="C19" s="19" t="str"/>
      <x:c r="D19" s="19" t="str"/>
      <x:c r="E19" s="19" t="str"/>
      <x:c r="F19" s="20" t="str"/>
      <x:c r="G19" s="19" t="str">
        <x:v>Offen</x:v>
      </x:c>
    </x:row>
    <x:row r="20" ht="34" customHeight="1">
      <x:c r="A20" s="40" t="str">
        <x:v>M-15</x:v>
      </x:c>
      <x:c r="B20" s="19" t="str"/>
      <x:c r="C20" s="19" t="str"/>
      <x:c r="D20" s="19" t="str"/>
      <x:c r="E20" s="19" t="str"/>
      <x:c r="F20" s="20" t="str"/>
      <x:c r="G20" s="19" t="str">
        <x:v>Offen</x:v>
      </x:c>
    </x:row>
    <x:row r="21" ht="34" customHeight="1">
      <x:c r="A21" s="40" t="str">
        <x:v>M-16</x:v>
      </x:c>
      <x:c r="B21" s="19" t="str"/>
      <x:c r="C21" s="19" t="str"/>
      <x:c r="D21" s="19" t="str"/>
      <x:c r="E21" s="19" t="str"/>
      <x:c r="F21" s="20" t="str"/>
      <x:c r="G21" s="19" t="str">
        <x:v>Offen</x:v>
      </x:c>
    </x:row>
    <x:row r="22" ht="34" customHeight="1">
      <x:c r="A22" s="40" t="str">
        <x:v>M-17</x:v>
      </x:c>
      <x:c r="B22" s="19" t="str"/>
      <x:c r="C22" s="19" t="str"/>
      <x:c r="D22" s="19" t="str"/>
      <x:c r="E22" s="19" t="str"/>
      <x:c r="F22" s="20" t="str"/>
      <x:c r="G22" s="19" t="str">
        <x:v>Offen</x:v>
      </x:c>
    </x:row>
    <x:row r="23" ht="34" customHeight="1">
      <x:c r="A23" s="40" t="str">
        <x:v>M-18</x:v>
      </x:c>
      <x:c r="B23" s="19" t="str"/>
      <x:c r="C23" s="19" t="str"/>
      <x:c r="D23" s="19" t="str"/>
      <x:c r="E23" s="19" t="str"/>
      <x:c r="F23" s="20" t="str"/>
      <x:c r="G23" s="19" t="str">
        <x:v>Offen</x:v>
      </x:c>
    </x:row>
    <x:row r="24" ht="34" customHeight="1">
      <x:c r="A24" s="40" t="str">
        <x:v>M-19</x:v>
      </x:c>
      <x:c r="B24" s="19" t="str"/>
      <x:c r="C24" s="19" t="str"/>
      <x:c r="D24" s="19" t="str"/>
      <x:c r="E24" s="19" t="str"/>
      <x:c r="F24" s="20" t="str"/>
      <x:c r="G24" s="19" t="str">
        <x:v>Offen</x:v>
      </x:c>
    </x:row>
    <x:row r="25" ht="34" customHeight="1">
      <x:c r="A25" s="40" t="str">
        <x:v>M-20</x:v>
      </x:c>
      <x:c r="B25" s="19" t="str"/>
      <x:c r="C25" s="19" t="str"/>
      <x:c r="D25" s="19" t="str"/>
      <x:c r="E25" s="19" t="str"/>
      <x:c r="F25" s="20" t="str"/>
      <x:c r="G25" s="19" t="str">
        <x:v>Offen</x:v>
      </x:c>
    </x:row>
    <x:row r="26">
      <x:c r="A26" s="2"/>
      <x:c r="B26" s="2"/>
      <x:c r="C26" s="2"/>
      <x:c r="D26" s="2"/>
      <x:c r="E26" s="2"/>
      <x:c r="F26" s="2"/>
      <x:c r="G26" s="2"/>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sheetData>
  <x:mergeCells>
    <x:mergeCell ref="A1:G2"/>
    <x:mergeCell ref="A3:G3"/>
  </x:mergeCells>
  <x:conditionalFormatting sqref="G6:G25">
    <x:cfRule type="expression" dxfId="10" priority="1">
      <x:formula>G6="Erledigt"</x:formula>
    </x:cfRule>
    <x:cfRule type="expression" dxfId="11"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1895c75dd89640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22" hidden="0" customWidth="1"/>
    <x:col min="4" max="4" width="9" hidden="0" customWidth="1"/>
    <x:col min="5" max="5" width="9" hidden="0" customWidth="1"/>
    <x:col min="6" max="6" width="9" hidden="0" customWidth="1"/>
    <x:col min="7" max="7" width="72" hidden="0" customWidth="1"/>
    <x:col min="8" max="8" width="58" hidden="0" customWidth="1"/>
  </x:cols>
  <x:sheetData>
    <x:row r="1" ht="34" customHeight="1">
      <x:c r="A1" s="6" t="str">
        <x:v>Tabellen A.2 bis A.5 – Softwareentwurf, Entwicklung, Modultest und Integration</x:v>
      </x:c>
      <x:c r="B1" s="6" t="str">
        <x:v>Tabellen A.2 bis A.5 – Softwareentwurf, Entwicklung, Modultest und Integration</x:v>
      </x:c>
      <x:c r="C1" s="6" t="str">
        <x:v>Tabellen A.2 bis A.5 – Softwareentwurf, Entwicklung, Modultest und Integration</x:v>
      </x:c>
      <x:c r="D1" s="6" t="str">
        <x:v>Tabellen A.2 bis A.5 – Softwareentwurf, Entwicklung, Modultest und Integration</x:v>
      </x:c>
      <x:c r="E1" s="6" t="str">
        <x:v>Tabellen A.2 bis A.5 – Softwareentwurf, Entwicklung, Modultest und Integration</x:v>
      </x:c>
      <x:c r="F1" s="6" t="str">
        <x:v>Tabellen A.2 bis A.5 – Softwareentwurf, Entwicklung, Modultest und Integration</x:v>
      </x:c>
      <x:c r="G1" s="6" t="str">
        <x:v>Tabellen A.2 bis A.5 – Softwareentwurf, Entwicklung, Modultest und Integration</x:v>
      </x:c>
      <x:c r="H1" s="6" t="str">
        <x:v>Tabellen A.2 bis A.5 – Softwareentwurf, Entwicklung, Modultest und Integration</x:v>
      </x:c>
    </x:row>
    <x:row r="2" ht="34" customHeight="1">
      <x:c r="A2" s="6" t="str">
        <x:v>Tabellen A.2 bis A.5 – Softwareentwurf, Entwicklung, Modultest und Integration</x:v>
      </x:c>
      <x:c r="B2" s="6" t="str">
        <x:v>Tabellen A.2 bis A.5 – Softwareentwurf, Entwicklung, Modultest und Integration</x:v>
      </x:c>
      <x:c r="C2" s="6" t="str">
        <x:v>Tabellen A.2 bis A.5 – Softwareentwurf, Entwicklung, Modultest und Integration</x:v>
      </x:c>
      <x:c r="D2" s="6" t="str">
        <x:v>Tabellen A.2 bis A.5 – Softwareentwurf, Entwicklung, Modultest und Integration</x:v>
      </x:c>
      <x:c r="E2" s="6" t="str">
        <x:v>Tabellen A.2 bis A.5 – Softwareentwurf, Entwicklung, Modultest und Integration</x:v>
      </x:c>
      <x:c r="F2" s="6" t="str">
        <x:v>Tabellen A.2 bis A.5 – Softwareentwurf, Entwicklung, Modultest und Integration</x:v>
      </x:c>
      <x:c r="G2" s="6" t="str">
        <x:v>Tabellen A.2 bis A.5 – Softwareentwurf, Entwicklung, Modultest und Integration</x:v>
      </x:c>
      <x:c r="H2" s="6" t="str">
        <x:v>Tabellen A.2 bis A.5 – Softwareentwurf, Entwicklung, Modultest und Integration</x:v>
      </x:c>
    </x:row>
    <x:row r="3">
      <x:c r="A3" s="8" t="str">
        <x:v>Normnahe Erläuterungen und vollständige Referenzen; Anwendbarkeit für SIL 1 bis SIL 3.</x:v>
      </x:c>
      <x:c r="B3" s="8" t="str">
        <x:v>Normnahe Erläuterungen und vollständige Referenzen; Anwendbarkeit für SIL 1 bis SIL 3.</x:v>
      </x:c>
      <x:c r="C3" s="8" t="str">
        <x:v>Normnahe Erläuterungen und vollständige Referenzen; Anwendbarkeit für SIL 1 bis SIL 3.</x:v>
      </x:c>
      <x:c r="D3" s="8" t="str">
        <x:v>Normnahe Erläuterungen und vollständige Referenzen; Anwendbarkeit für SIL 1 bis SIL 3.</x:v>
      </x:c>
      <x:c r="E3" s="8" t="str">
        <x:v>Normnahe Erläuterungen und vollständige Referenzen; Anwendbarkeit für SIL 1 bis SIL 3.</x:v>
      </x:c>
      <x:c r="F3" s="8" t="str">
        <x:v>Normnahe Erläuterungen und vollständige Referenzen; Anwendbarkeit für SIL 1 bis SIL 3.</x:v>
      </x:c>
      <x:c r="G3" s="8" t="str">
        <x:v>Normnahe Erläuterungen und vollständige Referenzen; Anwendbarkeit für SIL 1 bis SIL 3.</x:v>
      </x:c>
      <x:c r="H3" s="8" t="str">
        <x:v>Normnahe Erläuterungen und vollständige Referenzen; Anwendbarkeit für SIL 1 bis SIL 3.</x:v>
      </x:c>
    </x:row>
    <x:row r="4">
      <x:c r="A4" s="2"/>
      <x:c r="B4" s="2"/>
      <x:c r="C4" s="2"/>
      <x:c r="D4" s="2"/>
      <x:c r="E4" s="2"/>
      <x:c r="F4" s="2"/>
      <x:c r="G4" s="2"/>
      <x:c r="H4" s="2"/>
    </x:row>
    <x:row r="5">
      <x:c r="A5" s="40" t="str">
        <x:v>Nr.</x:v>
      </x:c>
      <x:c r="B5" s="40" t="str">
        <x:v>Verfahren / Maßnahme</x:v>
      </x:c>
      <x:c r="C5" s="40" t="str">
        <x:v>Siehe</x:v>
      </x:c>
      <x:c r="D5" s="40" t="str">
        <x:v>SIL 1</x:v>
      </x:c>
      <x:c r="E5" s="40" t="str">
        <x:v>SIL 2</x:v>
      </x:c>
      <x:c r="F5" s="40" t="str">
        <x:v>SIL 3</x:v>
      </x:c>
      <x:c r="G5" s="40" t="str">
        <x:v>Erläuterung</x:v>
      </x:c>
      <x:c r="H5" s="40" t="str">
        <x:v>Normreferenz</x:v>
      </x:c>
    </x:row>
    <x:row r="6" ht="100" customHeight="1">
      <x:c r="A6" s="54" t="str">
        <x:v>1</x:v>
      </x:c>
      <x:c r="B6" s="82" t="str">
        <x:v>Tabelle A.2 – Entwurf der Softwarearchitektur – Architektur und Eigenschaft des Entwurfs
Fehlererkennung</x:v>
      </x:c>
      <x:c r="C6" s="54" t="str">
        <x:v>C.3.1</x:v>
      </x:c>
      <x:c r="D6" s="54" t="str">
        <x:v>O</x:v>
      </x:c>
      <x:c r="E6" s="54" t="str">
        <x:v>+</x:v>
      </x:c>
      <x:c r="F6" s="54" t="str">
        <x:v>++</x:v>
      </x:c>
      <x:c r="G6" s="61" t="str">
        <x:v>Fehler im System sollen rechtzeitig erkannt und diagnostiziert werden, damit festgelegte Gegenmaßnahmen einen gefährlichen Ausfall verhindern oder dessen Auswirkungen begrenzen.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6" s="61" t="str">
        <x:v>IEC 61508-7, C.3.1</x:v>
      </x:c>
    </x:row>
    <x:row r="7" ht="100" customHeight="1">
      <x:c r="A7" s="54" t="str"/>
      <x:c r="B7" s="82" t="str">
        <x:v>Tabelle A.2 – Entwurf der Softwarearchitektur – Architektur und Eigenschaft des Entwurfs
Hier stehen die projektbezogenen Maßnahmen</x:v>
      </x:c>
      <x:c r="C7" s="54" t="str">
        <x:v>Hier stehen die projektbezogenen Maßnahmen</x:v>
      </x:c>
      <x:c r="D7" s="54" t="str">
        <x:v>Hier stehen die projektbezogenen Maßnahmen</x:v>
      </x:c>
      <x:c r="E7" s="54" t="str">
        <x:v>Hier stehen die projektbezogenen Maßnahmen</x:v>
      </x:c>
      <x:c r="F7" s="54" t="str">
        <x:v>Hier stehen die projektbezogenen Maßnahmen</x:v>
      </x:c>
      <x:c r="G7" s="61" t="str"/>
      <x:c r="H7" s="61" t="str"/>
    </x:row>
    <x:row r="8" ht="100" customHeight="1">
      <x:c r="A8" s="54" t="str">
        <x:v>2</x:v>
      </x:c>
      <x:c r="B8" s="82" t="str">
        <x:v>Tabelle A.2 – Entwurf der Softwarearchitektur – Architektur und Eigenschaft des Entwurfs
Fehlererkennende Codes</x:v>
      </x:c>
      <x:c r="C8" s="54" t="str">
        <x:v>C.3.2</x:v>
      </x:c>
      <x:c r="D8" s="54" t="str">
        <x:v>+</x:v>
      </x:c>
      <x:c r="E8" s="54" t="str">
        <x:v>+</x:v>
      </x:c>
      <x:c r="F8" s="54" t="str">
        <x:v>+</x:v>
      </x:c>
      <x:c r="G8" s="61" t="str">
        <x:v>Sicherheitsrelevante Informationen werden durch zusätzliche Codierung gegen Verfälschung geschützt. Nicht sicher korrigierbare Daten sind zu erkennen und kontrolliert zu verwerfen oder sicher zu behandeln.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8" s="61" t="str">
        <x:v>IEC 61508-7, C.3.2</x:v>
      </x:c>
    </x:row>
    <x:row r="9" ht="100" customHeight="1">
      <x:c r="A9" s="54" t="str">
        <x:v>3a</x:v>
      </x:c>
      <x:c r="B9" s="82" t="str">
        <x:v>Tabelle A.2 – Entwurf der Softwarearchitektur – Architektur und Eigenschaft des Entwurfs
Assertion-Programmierung (en: Failure assertion programming)</x:v>
      </x:c>
      <x:c r="C9" s="54" t="str">
        <x:v>C.3.3</x:v>
      </x:c>
      <x:c r="D9" s="54" t="str">
        <x:v>+</x:v>
      </x:c>
      <x:c r="E9" s="54" t="str">
        <x:v>+</x:v>
      </x:c>
      <x:c r="F9" s="54" t="str">
        <x:v>+</x:v>
      </x:c>
      <x:c r="G9" s="61" t="str">
        <x:v>Vorbedingungen, Nachbedingungen, Wertebereiche und interne Invarianten werden während der Ausführung geprüft. Eine verletzte Bedingung muss eine definierte Fehlerreaktion auslösen. Die zulässigen Regeln und Einschränkungen müssen projektweit verbindlich, prüfbar und für die verwendete Sprache konkretisiert sein. Regelabweichungen benötigen eine dokumentierte Begründung, Risikobewertung und zusätzliche Verifikation.</x:v>
      </x:c>
      <x:c r="H9" s="61" t="str">
        <x:v>IEC 61508-7, C.3.3</x:v>
      </x:c>
    </x:row>
    <x:row r="10" ht="100" customHeight="1">
      <x:c r="A10" s="54" t="str">
        <x:v>3b</x:v>
      </x:c>
      <x:c r="B10" s="82" t="str">
        <x:v>Tabelle A.2 – Entwurf der Softwarearchitektur – Architektur und Eigenschaft des Entwurfs
Diversitäre Überwachungseinrichtungen (mit Unabhängigkeit zwischen der überwachenden und der überwachten Funktion innerhalb desselben Rechners)</x:v>
      </x:c>
      <x:c r="C10" s="54" t="str">
        <x:v>C.3.4</x:v>
      </x:c>
      <x:c r="D10" s="54" t="str">
        <x:v>O</x:v>
      </x:c>
      <x:c r="E10" s="54" t="str">
        <x:v>+</x:v>
      </x:c>
      <x:c r="F10" s="54" t="str">
        <x:v>+</x:v>
      </x:c>
      <x:c r="G10" s="61" t="str">
        <x:v>Eine von der Nutzfunktion ausreichend unabhängige Überwachungsfunktion prüft deren sicherheitsrelevantes Verhalten im selben Rechner. Unabhängigkeit, Erkennungsumfang und sichere Reaktion sind zu begründen.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0" s="61" t="str">
        <x:v>IEC 61508-7, C.3.4</x:v>
      </x:c>
    </x:row>
    <x:row r="11" ht="100" customHeight="1">
      <x:c r="A11" s="54" t="str">
        <x:v>3c</x:v>
      </x:c>
      <x:c r="B11" s="82" t="str">
        <x:v>Tabelle A.2 – Entwurf der Softwarearchitektur – Architektur und Eigenschaft des Entwurfs
Diversitäre Überwachungseinrichtungen (mit Trennung zwischen dem überwachenden und dem überwachten Rechner)</x:v>
      </x:c>
      <x:c r="C11" s="54" t="str">
        <x:v>C.3.4</x:v>
      </x:c>
      <x:c r="D11" s="54" t="str">
        <x:v>O</x:v>
      </x:c>
      <x:c r="E11" s="54" t="str">
        <x:v>+</x:v>
      </x:c>
      <x:c r="F11" s="54" t="str">
        <x:v>+</x:v>
      </x:c>
      <x:c r="G11" s="61" t="str">
        <x:v>Ein getrenntes, unabhängiges Rechnersystem überwacht die Hauptfunktion, erkennt gefährliche Zustände und veranlasst erforderlichenfalls den sicheren Zustand. Die Überwachung ist SIL-angemessen zu qualifizieren.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1" s="61" t="str">
        <x:v>IEC 61508-7, C.3.4</x:v>
      </x:c>
    </x:row>
    <x:row r="12" ht="100" customHeight="1">
      <x:c r="A12" s="54" t="str">
        <x:v>3d</x:v>
      </x:c>
      <x:c r="B12" s="82" t="str">
        <x:v>Tabelle A.2 – Entwurf der Softwarearchitektur – Architektur und Eigenschaft des Entwurfs
Diversitäre Redundanz, Implementierung der gleichen Spezifikation der Anforderungen an die Sicherheit der Software</x:v>
      </x:c>
      <x:c r="C12" s="54" t="str">
        <x:v>C.3.5</x:v>
      </x:c>
      <x:c r="D12" s="54" t="str">
        <x:v>O</x:v>
      </x:c>
      <x:c r="E12" s="54" t="str">
        <x:v>O</x:v>
      </x:c>
      <x:c r="F12" s="54" t="str">
        <x:v>O</x:v>
      </x:c>
      <x:c r="G12" s="61" t="str">
        <x:v>Mehrere unabhängig entwickelte Kanäle realisieren dieselbe Sicherheitsspezifikation; ihre Ergebnisse werden verglichen oder bewertet. Gemeinsame Fehlerursachen und die Unabhängigkeit der Kanäle sind nachzuweisen.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2" s="61" t="str">
        <x:v>IEC 61508-7, C.3.5</x:v>
      </x:c>
    </x:row>
    <x:row r="13" ht="100" customHeight="1">
      <x:c r="A13" s="54" t="str">
        <x:v>3e</x:v>
      </x:c>
      <x:c r="B13" s="82" t="str">
        <x:v>Tabelle A.2 – Entwurf der Softwarearchitektur – Architektur und Eigenschaft des Entwurfs
Funktionale diversitäre Redundanz, Implementierung verschiedener Spezifikationen der Anforderungen an die Sicherheit der Software</x:v>
      </x:c>
      <x:c r="C13" s="54" t="str">
        <x:v>C.3.5</x:v>
      </x:c>
      <x:c r="D13" s="54" t="str">
        <x:v>O</x:v>
      </x:c>
      <x:c r="E13" s="54" t="str">
        <x:v>O</x:v>
      </x:c>
      <x:c r="F13" s="54" t="str">
        <x:v>+</x:v>
      </x:c>
      <x:c r="G13" s="61" t="str">
        <x:v>Unterschiedliche Spezifikationen oder Lösungsprinzipien realisieren dasselbe Sicherheitsziel. Vergleich, Entscheidung, Fehlerreaktion und Schutz gegen gemeinsame Fehlerursachen sind festzulegen.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3" s="61" t="str">
        <x:v>IEC 61508-7, C.3.5</x:v>
      </x:c>
    </x:row>
    <x:row r="14" ht="100" customHeight="1">
      <x:c r="A14" s="54" t="str">
        <x:v>3f</x:v>
      </x:c>
      <x:c r="B14" s="82" t="str">
        <x:v>Tabelle A.2 – Entwurf der Softwarearchitektur – Architektur und Eigenschaft des Entwurfs
Rückwärtsregeneration</x:v>
      </x:c>
      <x:c r="C14" s="54" t="str">
        <x:v>C.3.6</x:v>
      </x:c>
      <x:c r="D14" s="54" t="str">
        <x:v>+</x:v>
      </x:c>
      <x:c r="E14" s="54" t="str">
        <x:v>+</x:v>
      </x:c>
      <x:c r="F14" s="54" t="str">
        <x:v>O</x:v>
      </x:c>
      <x:c r="G14" s="61" t="str">
        <x:v>Nach einem erkannten Fehler wird auf einen zuvor gesicherten, als korrekt bekannten Zustand zurückgegangen. Zwischenzeitliche Änderungen müssen protokolliert, kompensiert oder anderweitig rückgängig gemacht werden können.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4" s="61" t="str">
        <x:v>IEC 61508-7, C.3.6</x:v>
      </x:c>
    </x:row>
    <x:row r="15" ht="100" customHeight="1">
      <x:c r="A15" s="54" t="str">
        <x:v>3g</x:v>
      </x:c>
      <x:c r="B15" s="82" t="str">
        <x:v>Tabelle A.2 – Entwurf der Softwarearchitektur – Architektur und Eigenschaft des Entwurfs
Zustandsloser Software-Entwurf (oder Entwurf eingeschränkter Zustände)</x:v>
      </x:c>
      <x:c r="C15" s="54" t="str">
        <x:v>C.2.12</x:v>
      </x:c>
      <x:c r="D15" s="54" t="str">
        <x:v>O</x:v>
      </x:c>
      <x:c r="E15" s="54" t="str">
        <x:v>O</x:v>
      </x:c>
      <x:c r="F15" s="54" t="str">
        <x:v>+</x:v>
      </x:c>
      <x:c r="G15" s="61" t="str">
        <x:v>Gespeicherte Zustände werden vermieden oder auf eine überschaubare, eindeutig definierte Menge begrenzt. Dadurch werden Verhalten, Prüfung und Fehleranalyse besser vorhersagbar. Modellzweck, Semantik, Annahmen, Abstraktionsgrenzen und geprüfte Eigenschaften müssen ausdrücklich dokumentiert sein. Zusätzlich ist nachzuweisen, dass Modell, Anforderungen und tatsächliche Implementierung für den betrachteten Umfang konsistent sind.</x:v>
      </x:c>
      <x:c r="H15" s="61" t="str">
        <x:v>IEC 61508-7, C.2.12</x:v>
      </x:c>
    </x:row>
    <x:row r="16" ht="100" customHeight="1">
      <x:c r="A16" s="55" t="str">
        <x:v>4a</x:v>
      </x:c>
      <x:c r="B16" s="55" t="str">
        <x:v>Tabelle A.2 – Entwurf der Softwarearchitektur – Architektur und Eigenschaft des Entwurfs
Regeneration durch Wiederholung</x:v>
      </x:c>
      <x:c r="C16" s="55" t="str">
        <x:v>C.3.7</x:v>
      </x:c>
      <x:c r="D16" s="55" t="str">
        <x:v>+</x:v>
      </x:c>
      <x:c r="E16" s="55" t="str">
        <x:v>+</x:v>
      </x:c>
      <x:c r="F16" s="55" t="str">
        <x:v>O</x:v>
      </x:c>
      <x:c r="G16" s="61" t="str">
        <x:v>Bei erkannten temporären Fehlern wird die Operation, Kommunikation oder Aufgabe erneut ausgeführt. Anzahl, Zeitgrenze, Abbruchbedingung und anschließende sichere Reaktion müssen begrenzt und definiert sein.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6" s="61" t="str">
        <x:v>IEC 61508-7, C.3.7</x:v>
      </x:c>
    </x:row>
    <x:row r="17" ht="100" customHeight="1">
      <x:c r="A17" s="55" t="str">
        <x:v>4b</x:v>
      </x:c>
      <x:c r="B17" s="55" t="str">
        <x:v>Tabelle A.2 – Entwurf der Softwarearchitektur – Architektur und Eigenschaft des Entwurfs
Abgestufte Funktionseinschränkungen</x:v>
      </x:c>
      <x:c r="C17" s="55" t="str">
        <x:v>C.3.8</x:v>
      </x:c>
      <x:c r="D17" s="55" t="str">
        <x:v>+</x:v>
      </x:c>
      <x:c r="E17" s="55" t="str">
        <x:v>+</x:v>
      </x:c>
      <x:c r="F17" s="55" t="str">
        <x:v>++</x:v>
      </x:c>
      <x:c r="G17" s="61" t="str">
        <x:v>Funktionen werden nach ihrer Sicherheitsrelevanz priorisiert. Bei Teil- oder Ressourcenausfällen werden weniger wichtige Funktionen eingeschränkt, damit kritische Funktionen erhalten bleiben oder der sichere Zustand erreicht wird. Für das Projekt sind Anwendungsbereich, Verantwortliche, Eingaben, Randbedingungen, Akzeptanzkriterien und Ergebnisdokumente festzulegen. Der Reviewnachweis muss zeigen, dass das Verfahren für die konkrete Sicherheitsfunktion wirksam und reproduzierbar angewendet wurde.</x:v>
      </x:c>
      <x:c r="H17" s="61" t="str">
        <x:v>IEC 61508-7, C.3.8</x:v>
      </x:c>
    </x:row>
    <x:row r="18" ht="100" customHeight="1">
      <x:c r="A18" s="55" t="str">
        <x:v>5</x:v>
      </x:c>
      <x:c r="B18" s="55" t="str">
        <x:v>Tabelle A.2 – Entwurf der Softwarearchitektur – Architektur und Eigenschaft des Entwurfs
Künstliche Intelligenz – Fehlerkorrektur</x:v>
      </x:c>
      <x:c r="C18" s="55" t="str">
        <x:v>C.3.9</x:v>
      </x:c>
      <x:c r="D18" s="55" t="str">
        <x:v>O</x:v>
      </x:c>
      <x:c r="E18" s="55" t="str">
        <x:v>--</x:v>
      </x:c>
      <x:c r="F18" s="55" t="str">
        <x:v>--</x:v>
      </x:c>
      <x:c r="G18" s="61" t="str">
        <x:v>KI-basierte Verfahren können Diagnose, Trendanalyse oder Fehlerkorrektur unterstützen. Wegen der negativen Empfehlung für SIL 2 und SIL 3 sind sie dort nicht als reguläre Sicherheitsmaßnahme vorzusehen und klar von der Sicherheitsfunktion abzugrenzen. Festzulegen sind die erfassten Fehlerarten, Erkennungsgrenzen, Diagnosezeiten und die sichere Reaktion. Der Nachweis sollte auch gezielte Fehlerfälle oder Fehlereinpflanzung enthalten und zeigen, dass ein einzelner Fehler nicht unkontrolliert zur gefährlichen Funktion führt.</x:v>
      </x:c>
      <x:c r="H18" s="61" t="str">
        <x:v>IEC 61508-7, C.3.9; IEC 61508-3, Tabelle A.2</x:v>
      </x:c>
    </x:row>
    <x:row r="19" ht="100" customHeight="1">
      <x:c r="A19" s="74" t="str">
        <x:v>6</x:v>
      </x:c>
      <x:c r="B19" s="74" t="str">
        <x:v>Tabelle A.2 – Entwurf der Softwarearchitektur – Architektur und Eigenschaft des Entwurfs
Dynamische Rekonfiguration</x:v>
      </x:c>
      <x:c r="C19" s="74" t="str">
        <x:v>C.3.10</x:v>
      </x:c>
      <x:c r="D19" s="74" t="str">
        <x:v>O</x:v>
      </x:c>
      <x:c r="E19" s="74" t="str">
        <x:v>--</x:v>
      </x:c>
      <x:c r="F19" s="74" t="str">
        <x:v>--</x:v>
      </x:c>
      <x:c r="G19" s="76" t="str">
        <x:v>Nach Ausfall einer Ressource wird die Funktion auf verbleibende Ressourcen umgeschaltet. Erkennung, Isolation, Umschaltung und Restfunktionalität sind bereits im Architekturentwurf festzulegen. Für SIL 2 und SIL 3 ist das Verfahren negativ empfohlen. Für das Projekt sind Anwendungsbereich, Verantwortliche, Eingaben, Randbedingungen, Akzeptanzkriterien und Ergebnisdokumente festzulegen. Der Reviewnachweis muss zeigen, dass das Verfahren für die konkrete Sicherheitsfunktion wirksam und reproduzierbar angewendet wurde.</x:v>
      </x:c>
      <x:c r="H19" s="76" t="str">
        <x:v>IEC 61508-7, C.3.10; IEC 61508-3, Tabelle A.2</x:v>
      </x:c>
    </x:row>
    <x:row r="20" ht="100" customHeight="1">
      <x:c r="A20" s="74" t="str">
        <x:v>7</x:v>
      </x:c>
      <x:c r="B20" s="74" t="str">
        <x:v>Tabelle A.2 – Entwurf der Softwarearchitektur – Architektur und Eigenschaft des Entwurfs
Modularer Ansatz</x:v>
      </x:c>
      <x:c r="C20" s="74" t="str">
        <x:v>Tabelle B.9</x:v>
      </x:c>
      <x:c r="D20" s="74" t="str">
        <x:v>++</x:v>
      </x:c>
      <x:c r="E20" s="74" t="str">
        <x:v>++</x:v>
      </x:c>
      <x:c r="F20" s="74" t="str">
        <x:v>++</x:v>
      </x:c>
      <x:c r="G20" s="76" t="str">
        <x:v>Die Architektur wird in kleine, überschaubare und möglichst schwach gekoppelte Module zerlegt. Modulgröße, Komplexität, Kapselung, Parameter, Ein-/Ausgänge und Schnittstellen sind systematisch zu begrenzen und zu definieren. Die konkrete Architektur muss Zuständigkeiten, Schnittstellen, Abhängigkeiten, Ressourcen und Fehlerreaktionen eindeutig erkennen lassen. Als Nachweis dienen freigegebene Entwurfsunterlagen sowie Analysen oder Tests, die die geforderten Eigenschaften und Grenzen bestätigen.</x:v>
      </x:c>
      <x:c r="H20" s="76" t="str">
        <x:v>IEC 61508-3, Tabelle B.9; IEC 61508-7, C.2.8, C.2.9 und C.5.13</x:v>
      </x:c>
    </x:row>
    <x:row r="21" ht="100" customHeight="1">
      <x:c r="A21" s="74" t="str">
        <x:v>8</x:v>
      </x:c>
      <x:c r="B21" s="74" t="str">
        <x:v>Tabelle A.2 – Entwurf der Softwarearchitektur – Architektur und Eigenschaft des Entwurfs
Verwendung gesicherter/verifizierter Softwareelemente (wenn verfügbar)</x:v>
      </x:c>
      <x:c r="C21" s="74" t="str">
        <x:v>C.2.10</x:v>
      </x:c>
      <x:c r="D21" s="74" t="str">
        <x:v>+</x:v>
      </x:c>
      <x:c r="E21" s="74" t="str">
        <x:v>++</x:v>
      </x:c>
      <x:c r="F21" s="74" t="str">
        <x:v>++</x:v>
      </x:c>
      <x:c r="G21" s="76" t="str">
        <x:v>Wiederverwendete Elemente benötigen nachvollziehbare Nachweise zu Entwurf, Verifikation, Validierung, Einsatzgrenzen, bekannten Fehlern und Betriebserfahrung. Der neue Einsatz muss innerhalb der belegten Grenzen liegen. Für das Projekt sind Anwendungsbereich, Verantwortliche, Eingaben, Randbedingungen, Akzeptanzkriterien und Ergebnisdokumente festzulegen. Der Reviewnachweis muss zeigen, dass das Verfahren für die konkrete Sicherheitsfunktion wirksam und reproduzierbar angewendet wurde.</x:v>
      </x:c>
      <x:c r="H21" s="76" t="str">
        <x:v>IEC 61508-7, C.2.10; IEC 61508-3, 7.4.2.12 und 7.4.2.13</x:v>
      </x:c>
    </x:row>
    <x:row r="22" ht="100" customHeight="1">
      <x:c r="A22" s="74" t="str">
        <x:v>9</x:v>
      </x:c>
      <x:c r="B22" s="74" t="str">
        <x:v>Tabelle A.2 – Entwurf der Softwarearchitektur – Architektur und Eigenschaft des Entwurfs
Vorwärtsverfolgbarkeit von der Spezifikation der Anforderungen an die Sicherheit der Software zur Softwarearchitektur</x:v>
      </x:c>
      <x:c r="C22" s="74" t="str">
        <x:v>C.2.11</x:v>
      </x:c>
      <x:c r="D22" s="74" t="str">
        <x:v>+</x:v>
      </x:c>
      <x:c r="E22" s="74" t="str">
        <x:v>+</x:v>
      </x:c>
      <x:c r="F22" s="74" t="str">
        <x:v>++</x:v>
      </x:c>
      <x:c r="G22" s="76" t="str">
        <x:v>Für jede Sicherheitsanforderung muss erkennbar sein, durch welches Architekturelement sie umgesetzt wird. Fehlende oder nur teilweise Zuordnungen müssen sichtbar werden. Im Review ist eine versionsbezogene Verfolgbarkeitsmatrix zu erwarten, die Quelle, Ziel, Prüfnachweis und offene Abweichungen eindeutig miteinander verbindet. Fehlende oder unbegründete Zuordnungen müssen bewertet und geschlossen werden.</x:v>
      </x:c>
      <x:c r="H22" s="76" t="str">
        <x:v>IEC 61508-7, C.2.11</x:v>
      </x:c>
    </x:row>
    <x:row r="23" ht="100" customHeight="1">
      <x:c r="A23" s="74" t="str">
        <x:v>10</x:v>
      </x:c>
      <x:c r="B23" s="74" t="str">
        <x:v>Tabelle A.2 – Entwurf der Softwarearchitektur – Architektur und Eigenschaft des Entwurfs
Rückwärtsverfolgbarkeit von der Spezifikation der Anforderungen an die Sicherheit der Software zur Softwarearchitektur</x:v>
      </x:c>
      <x:c r="C23" s="74" t="str">
        <x:v>C.2.11</x:v>
      </x:c>
      <x:c r="D23" s="74" t="str">
        <x:v>+</x:v>
      </x:c>
      <x:c r="E23" s="74" t="str">
        <x:v>+</x:v>
      </x:c>
      <x:c r="F23" s="74" t="str">
        <x:v>++</x:v>
      </x:c>
      <x:c r="G23" s="76" t="str">
        <x:v>Jedes sicherheitsrelevante Architekturelement und jede wesentliche Entwurfsentscheidung muss durch eine freigegebene Sicherheitsanforderung begründet sein. Im Review ist eine versionsbezogene Verfolgbarkeitsmatrix zu erwarten, die Quelle, Ziel, Prüfnachweis und offene Abweichungen eindeutig miteinander verbindet. Fehlende oder unbegründete Zuordnungen müssen bewertet und geschlossen werden.</x:v>
      </x:c>
      <x:c r="H23" s="76" t="str">
        <x:v>IEC 61508-7, C.2.11</x:v>
      </x:c>
    </x:row>
    <x:row r="24" ht="100" customHeight="1">
      <x:c r="A24" s="74" t="str">
        <x:v>11a</x:v>
      </x:c>
      <x:c r="B24" s="74" t="str">
        <x:v>Tabelle A.2 – Entwurf der Softwarearchitektur – Architektur und Eigenschaft des Entwurfs
Strukturierte, schematische Methoden</x:v>
      </x:c>
      <x:c r="C24" s="74" t="str">
        <x:v>C.2.1</x:v>
      </x:c>
      <x:c r="D24" s="74" t="str">
        <x:v>++</x:v>
      </x:c>
      <x:c r="E24" s="74" t="str">
        <x:v>++</x:v>
      </x:c>
      <x:c r="F24" s="74" t="str">
        <x:v>++</x:v>
      </x:c>
      <x:c r="G24" s="76" t="str">
        <x:v>Das System wird methodisch in Funktionen, Daten, Schnittstellen und handhabbare Teilsysteme zerlegt und in einer festgelegten, verständlichen sowie systematisch prüfbaren Notation dokumentiert. Für das Projekt sind Anwendungsbereich, Verantwortliche, Eingaben, Randbedingungen, Akzeptanzkriterien und Ergebnisdokumente festzulegen. Der Reviewnachweis muss zeigen, dass das Verfahren für die konkrete Sicherheitsfunktion wirksam und reproduzierbar angewendet wurde.</x:v>
      </x:c>
      <x:c r="H24" s="76" t="str">
        <x:v>IEC 61508-7, C.2.1</x:v>
      </x:c>
    </x:row>
    <x:row r="25" ht="100" customHeight="1">
      <x:c r="A25" s="74" t="str">
        <x:v>11b</x:v>
      </x:c>
      <x:c r="B25" s="74" t="str">
        <x:v>Tabelle A.2 – Entwurf der Softwarearchitektur – Architektur und Eigenschaft des Entwurfs
Semiformale Methoden</x:v>
      </x:c>
      <x:c r="C25" s="74" t="str">
        <x:v>Tabelle B.7</x:v>
      </x:c>
      <x:c r="D25" s="74" t="str">
        <x:v>+</x:v>
      </x:c>
      <x:c r="E25" s="74" t="str">
        <x:v>+</x:v>
      </x:c>
      <x:c r="F25" s="74" t="str">
        <x:v>++</x:v>
      </x:c>
      <x:c r="G25" s="76" t="str">
        <x:v>Geeignete Darstellungen sind unter anderem Funktionsblock-, Ablauf- und Datenflussdiagramme, Zustandsautomaten, Petri-Netze, Entscheidungs-/Wahrheitstabellen und UML. Notation und Semantik sind festzulegen. Modellzweck, Semantik, Annahmen, Abstraktionsgrenzen und geprüfte Eigenschaften müssen ausdrücklich dokumentiert sein. Zusätzlich ist nachzuweisen, dass Modell, Anforderungen und tatsächliche Implementierung für den betrachteten Umfang konsistent sind.</x:v>
      </x:c>
      <x:c r="H25" s="76" t="str">
        <x:v>IEC 61508-3, Tabelle B.7; IEC 61508-7, B.2.3.2, B.2.3.3, B.2.4.4, C.2.2, C.2.14, C.3.12 und C.6.1</x:v>
      </x:c>
    </x:row>
    <x:row r="26" ht="100" customHeight="1">
      <x:c r="A26" s="74" t="str">
        <x:v>11c</x:v>
      </x:c>
      <x:c r="B26" s="74" t="str">
        <x:v>Tabelle A.2 – Entwurf der Softwarearchitektur – Architektur und Eigenschaft des Entwurfs
Formale Entwurfs- und Verfeinerungsmethoden</x:v>
      </x:c>
      <x:c r="C26" s="74" t="str">
        <x:v>B.2.2, C.2.4</x:v>
      </x:c>
      <x:c r="D26" s="74" t="str">
        <x:v>O</x:v>
      </x:c>
      <x:c r="E26" s="74" t="str">
        <x:v>+</x:v>
      </x:c>
      <x:c r="F26" s="74" t="str">
        <x:v>+</x:v>
      </x:c>
      <x:c r="G26" s="76" t="str">
        <x:v>Mathematisch definierte Modelle und Notationen werden eingesetzt, um Eindeutigkeit, Widerspruchsfreiheit und Korrektheit zu untersuchen oder zu beweisen. Modellgrenzen, Annahmen und geprüfte Eigenschaften sind zu dokumentieren. Modellzweck, Semantik, Annahmen, Abstraktionsgrenzen und geprüfte Eigenschaften müssen ausdrücklich dokumentiert sein. Zusätzlich ist nachzuweisen, dass Modell, Anforderungen und tatsächliche Implementierung für den betrachteten Umfang konsistent sind.</x:v>
      </x:c>
      <x:c r="H26" s="76" t="str">
        <x:v>IEC 61508-7, B.2.2 und C.2.4</x:v>
      </x:c>
    </x:row>
    <x:row r="27" ht="100" customHeight="1">
      <x:c r="A27" s="74" t="str">
        <x:v>11d</x:v>
      </x:c>
      <x:c r="B27" s="74" t="str">
        <x:v>Tabelle A.2 – Entwurf der Softwarearchitektur – Architektur und Eigenschaft des Entwurfs
Automatische Softwaregenerierung</x:v>
      </x:c>
      <x:c r="C27" s="74" t="str">
        <x:v>C.4.6</x:v>
      </x:c>
      <x:c r="D27" s="74" t="str">
        <x:v>+</x:v>
      </x:c>
      <x:c r="E27" s="74" t="str">
        <x:v>+</x:v>
      </x:c>
      <x:c r="F27" s="74" t="str">
        <x:v>+</x:v>
      </x:c>
      <x:c r="G27" s="76" t="str">
        <x:v>Ein Modell oder eine ausführbare Spezifikation wird automatisch in ausführbare Software überführt. Modell, Generator, Einstellungen und Ergebnis sind konfigurationszuführen und angemessen zu verifizieren. Für das Projekt sind Anwendungsbereich, Verantwortliche, Eingaben, Randbedingungen, Akzeptanzkriterien und Ergebnisdokumente festzulegen. Der Reviewnachweis muss zeigen, dass das Verfahren für die konkrete Sicherheitsfunktion wirksam und reproduzierbar angewendet wurde.</x:v>
      </x:c>
      <x:c r="H27" s="76" t="str">
        <x:v>IEC 61508-7, C.4.6; IEC 61508-3, 7.4.4</x:v>
      </x:c>
    </x:row>
    <x:row r="28" ht="100" customHeight="1">
      <x:c r="A28" s="74" t="str">
        <x:v>12</x:v>
      </x:c>
      <x:c r="B28" s="74" t="str">
        <x:v>Tabelle A.2 – Entwurf der Softwarearchitektur – Architektur und Eigenschaft des Entwurfs
Rechnergestützte Spezifikations- und Entwurfswerkzeuge</x:v>
      </x:c>
      <x:c r="C28" s="74" t="str">
        <x:v>B.2.4</x:v>
      </x:c>
      <x:c r="D28" s="74" t="str">
        <x:v>+</x:v>
      </x:c>
      <x:c r="E28" s="74" t="str">
        <x:v>+</x:v>
      </x:c>
      <x:c r="F28" s="74" t="str">
        <x:v>++</x:v>
      </x:c>
      <x:c r="G28" s="76" t="str">
        <x:v>Werkzeuge unterstützen Vollständigkeit, Konsistenz, Verknüpfung und gegebenenfalls Animation der Spezifikation. Funktionen, Einsatzgrenzen, Versionen und Prüfung der erzeugten Ergebnisse sind zu dokumentieren. Im Review sind Verwendungszweck, Version, Konfiguration, Einsatzgrenzen und mögliche Fehlwirkungen festzuhalten. Der Nachweis muss zeigen, wie fehlerhafte Werkzeugausgaben erkannt werden und wie ein freigegebener Stand reproduzierbar erzeugt werden kann.</x:v>
      </x:c>
      <x:c r="H28" s="76" t="str">
        <x:v>IEC 61508-7, B.2.4</x:v>
      </x:c>
    </x:row>
    <x:row r="29" ht="100" customHeight="1">
      <x:c r="A29" s="74" t="str">
        <x:v>13a</x:v>
      </x:c>
      <x:c r="B29" s="74" t="str">
        <x:v>Tabelle A.2 – Entwurf der Softwarearchitektur – Architektur und Eigenschaft des Entwurfs
Zyklisches Verhalten, mit garantierter maximaler Zykluszeit</x:v>
      </x:c>
      <x:c r="C29" s="74" t="str">
        <x:v>C.3.11</x:v>
      </x:c>
      <x:c r="D29" s="74" t="str">
        <x:v>+</x:v>
      </x:c>
      <x:c r="E29" s="74" t="str">
        <x:v>++</x:v>
      </x:c>
      <x:c r="F29" s="74" t="str">
        <x:v>++</x:v>
      </x:c>
      <x:c r="G29" s="76" t="str">
        <x:v>Die Software arbeitet nach einem definierten Zyklus. Maximale Zykluszeit, Worst-Case-Ausführungszeit, Zeitüberwachung und Reaktion bei Überschreitung sind zu spezifizieren und nachzuweisen. Für das Projekt sind Anwendungsbereich, Verantwortliche, Eingaben, Randbedingungen, Akzeptanzkriterien und Ergebnisdokumente festzulegen. Der Reviewnachweis muss zeigen, dass das Verfahren für die konkrete Sicherheitsfunktion wirksam und reproduzierbar angewendet wurde.</x:v>
      </x:c>
      <x:c r="H29" s="76" t="str">
        <x:v>IEC 61508-7, C.3.11</x:v>
      </x:c>
    </x:row>
    <x:row r="30" ht="100" customHeight="1">
      <x:c r="A30" s="74" t="str">
        <x:v>13b</x:v>
      </x:c>
      <x:c r="B30" s="74" t="str">
        <x:v>Tabelle A.2 – Entwurf der Softwarearchitektur – Architektur und Eigenschaft des Entwurfs
Zeitgesteuerte Architektur (en: time triggered architecture, TTA)</x:v>
      </x:c>
      <x:c r="C30" s="74" t="str">
        <x:v>C.3.11</x:v>
      </x:c>
      <x:c r="D30" s="74" t="str">
        <x:v>+</x:v>
      </x:c>
      <x:c r="E30" s="74" t="str">
        <x:v>++</x:v>
      </x:c>
      <x:c r="F30" s="74" t="str">
        <x:v>++</x:v>
      </x:c>
      <x:c r="G30" s="76" t="str">
        <x:v>Funktionen und Kommunikation werden durch eine synchronisierte Zeitbasis und einen statischen Ablaufplan ausgelöst. Zeitschlitze, Synchronisation, Fehlertoleranz und Verhalten bei Zeitfehlern sind festzulegen. Die konkrete Architektur muss Zuständigkeiten, Schnittstellen, Abhängigkeiten, Ressourcen und Fehlerreaktionen eindeutig erkennen lassen. Als Nachweis dienen freigegebene Entwurfsunterlagen sowie Analysen oder Tests, die die geforderten Eigenschaften und Grenzen bestätigen.</x:v>
      </x:c>
      <x:c r="H30" s="76" t="str">
        <x:v>IEC 61508-7, C.3.11</x:v>
      </x:c>
    </x:row>
    <x:row r="31" ht="100" customHeight="1">
      <x:c r="A31" s="74" t="str">
        <x:v>13c</x:v>
      </x:c>
      <x:c r="B31" s="74" t="str">
        <x:v>Tabelle A.2 – Entwurf der Softwarearchitektur – Architektur und Eigenschaft des Entwurfs
Ereignisgesteuert, mit garantierter maximaler Reaktionszeit</x:v>
      </x:c>
      <x:c r="C31" s="74" t="str">
        <x:v>C.3.11</x:v>
      </x:c>
      <x:c r="D31" s="74" t="str">
        <x:v>+</x:v>
      </x:c>
      <x:c r="E31" s="74" t="str">
        <x:v>++</x:v>
      </x:c>
      <x:c r="F31" s="74" t="str">
        <x:v>++</x:v>
      </x:c>
      <x:c r="G31" s="76" t="str">
        <x:v>Ereignisse müssen innerhalb festgelegter maximaler Reaktionszeiten verarbeitet werden. Prioritäten, Ereignislast, Unterbrechungen, Warteschlangen und Worst-Case-Reaktionszeiten sind zu analysieren. Für das Projekt sind Anwendungsbereich, Verantwortliche, Eingaben, Randbedingungen, Akzeptanzkriterien und Ergebnisdokumente festzulegen. Der Reviewnachweis muss zeigen, dass das Verfahren für die konkrete Sicherheitsfunktion wirksam und reproduzierbar angewendet wurde.</x:v>
      </x:c>
      <x:c r="H31" s="76" t="str">
        <x:v>IEC 61508-7, C.3.11</x:v>
      </x:c>
    </x:row>
    <x:row r="32" ht="100" customHeight="1">
      <x:c r="A32" s="74" t="str">
        <x:v>14</x:v>
      </x:c>
      <x:c r="B32" s="74" t="str">
        <x:v>Tabelle A.2 – Entwurf der Softwarearchitektur – Architektur und Eigenschaft des Entwurfs
Statische Ressourcenzuteilung</x:v>
      </x:c>
      <x:c r="C32" s="74" t="str">
        <x:v>C.2.6.3</x:v>
      </x:c>
      <x:c r="D32" s="74" t="str">
        <x:v>O</x:v>
      </x:c>
      <x:c r="E32" s="74" t="str">
        <x:v>+</x:v>
      </x:c>
      <x:c r="F32" s="74" t="str">
        <x:v>++</x:v>
      </x:c>
      <x:c r="G32" s="76" t="str">
        <x:v>Speicher, Aufgaben, Kommunikationsmittel und andere kritische Ressourcen werden möglichst vor der Laufzeit festgelegt. Dynamische Zuteilung ist zu vermeiden oder hinsichtlich Bedarf, Zeitverhalten und Ressourcenmangel nachweisbar zu beherrschen. Die konkrete Architektur muss Zuständigkeiten, Schnittstellen, Abhängigkeiten, Ressourcen und Fehlerreaktionen eindeutig erkennen lassen. Als Nachweis dienen freigegebene Entwurfsunterlagen sowie Analysen oder Tests, die die geforderten Eigenschaften und Grenzen bestätigen.</x:v>
      </x:c>
      <x:c r="H32" s="76" t="str">
        <x:v>IEC 61508-7, C.2.6.3; IEC 61508-3, Tabelle B.1</x:v>
      </x:c>
    </x:row>
    <x:row r="33" ht="100" customHeight="1">
      <x:c r="A33" s="74" t="str">
        <x:v>15</x:v>
      </x:c>
      <x:c r="B33" s="74" t="str">
        <x:v>Tabelle A.2 – Entwurf der Softwarearchitektur – Architektur und Eigenschaft des Entwurfs
Statische Synchronisation des Zugriffs auf gemeinsam genutzte Ressourcen</x:v>
      </x:c>
      <x:c r="C33" s="74" t="str">
        <x:v>C.2.6.3</x:v>
      </x:c>
      <x:c r="D33" s="74" t="str">
        <x:v>O</x:v>
      </x:c>
      <x:c r="E33" s="74" t="str">
        <x:v>O</x:v>
      </x:c>
      <x:c r="F33" s="74" t="str">
        <x:v>+</x:v>
      </x:c>
      <x:c r="G33" s="76" t="str">
        <x:v>Zugriffe auf gemeinsam genutzte Ressourcen müssen deterministisch koordiniert werden. Race Conditions, Deadlocks, Prioritätsumkehr und maximale Blockierzeiten sind zu verhindern oder nachweisbar zu beherrschen. Die konkrete Architektur muss Zuständigkeiten, Schnittstellen, Abhängigkeiten, Ressourcen und Fehlerreaktionen eindeutig erkennen lassen. Als Nachweis dienen freigegebene Entwurfsunterlagen sowie Analysen oder Tests, die die geforderten Eigenschaften und Grenzen bestätigen.</x:v>
      </x:c>
      <x:c r="H33" s="76" t="str">
        <x:v>IEC 61508-7, C.2.6.3</x:v>
      </x:c>
    </x:row>
    <x:row r="34" ht="100" customHeight="1">
      <x:c r="A34" s="74" t="str">
        <x:v>1</x:v>
      </x:c>
      <x:c r="B34" s="74" t="str">
        <x:v>Werkzeuge und Programmiersprachen
Geeignete Programmiersprache</x:v>
      </x:c>
      <x:c r="C34" s="74" t="str">
        <x:v>C.4.5</x:v>
      </x:c>
      <x:c r="D34" s="74" t="str">
        <x:v>++</x:v>
      </x:c>
      <x:c r="E34" s="74" t="str">
        <x:v>++</x:v>
      </x:c>
      <x:c r="F34" s="74" t="str">
        <x:v>++</x:v>
      </x:c>
      <x:c r="G34" s="76" t="str">
        <x:v>Die Sprache soll eindeutig definiert, für die Anwendung geeignet und gut analysierbar sein. Sie soll strukturierte und defensive Programmierung, Typprüfung und gegebenenfalls Assertions unterstützen. Im Review sind Verwendungszweck, Version, Konfiguration, Einsatzgrenzen und mögliche Fehlwirkungen festzuhalten. Der Nachweis muss zeigen, wie fehlerhafte Werkzeugausgaben erkannt werden und wie ein freigegebener Stand reproduzierbar erzeugt werden kann.</x:v>
      </x:c>
      <x:c r="H34" s="76" t="str">
        <x:v>IEC 61508-7, C.4.5; IEC 61508-3, 7.4.4.10 und 7.4.4.11</x:v>
      </x:c>
    </x:row>
    <x:row r="35" ht="100" customHeight="1">
      <x:c r="A35" s="74" t="str">
        <x:v>2</x:v>
      </x:c>
      <x:c r="B35" s="74" t="str">
        <x:v>Werkzeuge und Programmiersprachen
Streng typisierte Programmiersprache</x:v>
      </x:c>
      <x:c r="C35" s="74" t="str">
        <x:v>C.4.1</x:v>
      </x:c>
      <x:c r="D35" s="74" t="str">
        <x:v>++</x:v>
      </x:c>
      <x:c r="E35" s="74" t="str">
        <x:v>++</x:v>
      </x:c>
      <x:c r="F35" s="74" t="str">
        <x:v>++</x:v>
      </x:c>
      <x:c r="G35" s="76" t="str">
        <x:v>Die Sprache beziehungsweise Teilmenge soll Typfehler bei Übersetzung erkennen. Parameter, Schnittstellen und getrennt übersetzte Module sind einzubeziehen; bei nicht streng typisierten Sprachen sind zusätzliche Regeln und Analysen erforderlich. Im Review sind Verwendungszweck, Version, Konfiguration, Einsatzgrenzen und mögliche Fehlwirkungen festzuhalten. Der Nachweis muss zeigen, wie fehlerhafte Werkzeugausgaben erkannt werden und wie ein freigegebener Stand reproduzierbar erzeugt werden kann.</x:v>
      </x:c>
      <x:c r="H35" s="76" t="str">
        <x:v>IEC 61508-7, C.4.1</x:v>
      </x:c>
    </x:row>
    <x:row r="36" ht="100" customHeight="1">
      <x:c r="A36" s="74" t="str">
        <x:v>3</x:v>
      </x:c>
      <x:c r="B36" s="74" t="str">
        <x:v>Werkzeuge und Programmiersprachen
Sprachenteilmenge</x:v>
      </x:c>
      <x:c r="C36" s="74" t="str">
        <x:v>C.4.2</x:v>
      </x:c>
      <x:c r="D36" s="74" t="str">
        <x:v>O</x:v>
      </x:c>
      <x:c r="E36" s="74" t="str">
        <x:v>O</x:v>
      </x:c>
      <x:c r="F36" s="74" t="str">
        <x:v>++</x:v>
      </x:c>
      <x:c r="G36" s="76" t="str">
        <x:v>Fehleranfällige, mehrdeutige oder schwer analysierbare Sprachmerkmale werden ausgeschlossen. Die zulässige Teilmenge ist verbindlich festzulegen und ihre Einhaltung nachzuweisen. Im Review sind Verwendungszweck, Version, Konfiguration, Einsatzgrenzen und mögliche Fehlwirkungen festzuhalten. Der Nachweis muss zeigen, wie fehlerhafte Werkzeugausgaben erkannt werden und wie ein freigegebener Stand reproduzierbar erzeugt werden kann.</x:v>
      </x:c>
      <x:c r="H36" s="76" t="str">
        <x:v>IEC 61508-7, C.4.2; IEC 61508-3, 7.4.4.12 und 7.4.4.13</x:v>
      </x:c>
    </x:row>
    <x:row r="37" ht="100" customHeight="1">
      <x:c r="A37" s="74" t="str">
        <x:v>4a</x:v>
      </x:c>
      <x:c r="B37" s="74" t="str">
        <x:v>Werkzeuge und Programmiersprachen
Zertifizierte Werkzeuge und zertifizierte Übersetzer</x:v>
      </x:c>
      <x:c r="C37" s="74" t="str">
        <x:v>C.4.3</x:v>
      </x:c>
      <x:c r="D37" s="74" t="str">
        <x:v>+</x:v>
      </x:c>
      <x:c r="E37" s="74" t="str">
        <x:v>++</x:v>
      </x:c>
      <x:c r="F37" s="74" t="str">
        <x:v>++</x:v>
      </x:c>
      <x:c r="G37" s="76" t="str">
        <x:v>Zertifikate erhöhen das Vertrauen nur innerhalb des zertifizierten Umfangs, der Version und der Einsatzbedingungen. Eine allgemeine Werkzeug- oder Sprachzertifizierung ist kein automatischer Sicherheitsnachweis für das Projekt. Im Review sind Verwendungszweck, Version, Konfiguration, Einsatzgrenzen und mögliche Fehlwirkungen festzuhalten. Der Nachweis muss zeigen, wie fehlerhafte Werkzeugausgaben erkannt werden und wie ein freigegebener Stand reproduzierbar erzeugt werden kann.</x:v>
      </x:c>
      <x:c r="H37" s="76" t="str">
        <x:v>IEC 61508-7, C.4.3; IEC 61508-3, 7.4.4.4 bis 7.4.4.7</x:v>
      </x:c>
    </x:row>
    <x:row r="38" ht="100" customHeight="1">
      <x:c r="A38" s="74" t="str">
        <x:v>4b</x:v>
      </x:c>
      <x:c r="B38" s="74" t="str">
        <x:v>Werkzeuge und Programmiersprachen
Werkzeuge und Übersetzter: erhöhtes Vertrauen durch die Anwendung</x:v>
      </x:c>
      <x:c r="C38" s="74" t="str">
        <x:v>C.4.4</x:v>
      </x:c>
      <x:c r="D38" s="74" t="str">
        <x:v>++</x:v>
      </x:c>
      <x:c r="E38" s="74" t="str">
        <x:v>++</x:v>
      </x:c>
      <x:c r="F38" s="74" t="str">
        <x:v>++</x:v>
      </x:c>
      <x:c r="G38" s="76" t="str">
        <x:v>Das Vertrauen beruht auf dokumentierter erfolgreicher Verwendung in vergleichbaren Anwendungen und Umgebungen. Version, Einsatzumfang, bekannte Fehler und Abweichungen müssen nachvollziehbar sein. Im Review sind Verwendungszweck, Version, Konfiguration, Einsatzgrenzen und mögliche Fehlwirkungen festzuhalten. Der Nachweis muss zeigen, wie fehlerhafte Werkzeugausgaben erkannt werden und wie ein freigegebener Stand reproduzierbar erzeugt werden kann.</x:v>
      </x:c>
      <x:c r="H38" s="76" t="str">
        <x:v>IEC 61508-7, C.4.4; IEC 61508-3, 7.4.4.5 und 7.4.4.6</x:v>
      </x:c>
    </x:row>
    <x:row r="39" ht="100" customHeight="1">
      <x:c r="A39" s="74" t="str">
        <x:v>1a</x:v>
      </x:c>
      <x:c r="B39" s="74" t="str">
        <x:v>Tabelle A.4 – Detaillierter Entwurf
Strukturierte Methoden</x:v>
      </x:c>
      <x:c r="C39" s="74" t="str">
        <x:v>C.2.1</x:v>
      </x:c>
      <x:c r="D39" s="74" t="str">
        <x:v>++</x:v>
      </x:c>
      <x:c r="E39" s="74" t="str">
        <x:v>++</x:v>
      </x:c>
      <x:c r="F39" s="74" t="str">
        <x:v>++</x:v>
      </x:c>
      <x:c r="G39" s="76" t="str">
        <x:v>Der detaillierte Entwurf wird systematisch zerlegt und in einer einheitlichen, prüfbaren Notation beschrieben. Funktionen, Daten, Schnittstellen und Abhängigkeiten sind vollständig darzustellen. Für das Projekt sind Anwendungsbereich, Verantwortliche, Eingaben, Randbedingungen, Akzeptanzkriterien und Ergebnisdokumente festzulegen. Der Reviewnachweis muss zeigen, dass das Verfahren für die konkrete Sicherheitsfunktion wirksam und reproduzierbar angewendet wurde.</x:v>
      </x:c>
      <x:c r="H39" s="76" t="str">
        <x:v>IEC 61508-7, C.2.1</x:v>
      </x:c>
    </x:row>
    <x:row r="40" ht="100" customHeight="1">
      <x:c r="A40" s="74" t="str">
        <x:v>1b</x:v>
      </x:c>
      <x:c r="B40" s="74" t="str">
        <x:v>Tabelle A.4 – Detaillierter Entwurf
Semiformale Methoden</x:v>
      </x:c>
      <x:c r="C40" s="74" t="str">
        <x:v>Tabelle B.7</x:v>
      </x:c>
      <x:c r="D40" s="74" t="str">
        <x:v>+</x:v>
      </x:c>
      <x:c r="E40" s="74" t="str">
        <x:v>++</x:v>
      </x:c>
      <x:c r="F40" s="74" t="str">
        <x:v>++</x:v>
      </x:c>
      <x:c r="G40" s="76" t="str">
        <x:v>Geeignete Diagramme oder Modelle mit festgelegter Bedeutung werden verwendet, beispielsweise Zustandsautomaten, Datenfluss- oder Funktionsblockdiagramme und UML. Modell und Implementierung sind konsistent zu halten. Modellzweck, Semantik, Annahmen, Abstraktionsgrenzen und geprüfte Eigenschaften müssen ausdrücklich dokumentiert sein. Zusätzlich ist nachzuweisen, dass Modell, Anforderungen und tatsächliche Implementierung für den betrachteten Umfang konsistent sind.</x:v>
      </x:c>
      <x:c r="H40" s="76" t="str">
        <x:v>IEC 61508-3, Tabelle B.7; IEC 61508-7, B.2.3.2, B.2.3.3, B.2.4.4, C.2.2, C.2.14, C.3.12 und C.6.1</x:v>
      </x:c>
    </x:row>
    <x:row r="41" ht="100" customHeight="1">
      <x:c r="A41" s="74" t="str">
        <x:v>1c</x:v>
      </x:c>
      <x:c r="B41" s="74" t="str">
        <x:v>Tabelle A.4 – Detaillierter Entwurf
Formale Entwurfs- und Verfeinerungsmethoden</x:v>
      </x:c>
      <x:c r="C41" s="74" t="str">
        <x:v>B.2.2, C.2.4</x:v>
      </x:c>
      <x:c r="D41" s="74" t="str">
        <x:v>O</x:v>
      </x:c>
      <x:c r="E41" s="74" t="str">
        <x:v>+</x:v>
      </x:c>
      <x:c r="F41" s="74" t="str">
        <x:v>+</x:v>
      </x:c>
      <x:c r="G41" s="76" t="str">
        <x:v>Ausgewählte Eigenschaften des Entwurfs oder Codes werden mathematisch beschrieben und analysiert. Annahmen, Beweisziele, Modellgrenzen und Ergebnisse sind zu dokumentieren. Modellzweck, Semantik, Annahmen, Abstraktionsgrenzen und geprüfte Eigenschaften müssen ausdrücklich dokumentiert sein. Zusätzlich ist nachzuweisen, dass Modell, Anforderungen und tatsächliche Implementierung für den betrachteten Umfang konsistent sind.</x:v>
      </x:c>
      <x:c r="H41" s="76" t="str">
        <x:v>IEC 61508-7, B.2.2 und C.2.4</x:v>
      </x:c>
    </x:row>
    <x:row r="42" ht="100" customHeight="1">
      <x:c r="A42" s="74" t="str">
        <x:v>2</x:v>
      </x:c>
      <x:c r="B42" s="74" t="str">
        <x:v>Tabelle A.4 – Detaillierter Entwurf
Rechnergestützte Entwurfswerkzeuge</x:v>
      </x:c>
      <x:c r="C42" s="74" t="str">
        <x:v>B.3.5</x:v>
      </x:c>
      <x:c r="D42" s="74" t="str">
        <x:v>+</x:v>
      </x:c>
      <x:c r="E42" s="74" t="str">
        <x:v>+</x:v>
      </x:c>
      <x:c r="F42" s="74" t="str">
        <x:v>++</x:v>
      </x:c>
      <x:c r="G42" s="76" t="str">
        <x:v>Werkzeuge sollen den Entwurf systematisch unterstützen und geprüfte Konstruktionselemente verwenden. Korrektheit und Schnittstellenverträglichkeit sind durch Tests, Betriebserfahrung oder unabhängige Ergebnisprüfung zu belegen. Im Review sind Verwendungszweck, Version, Konfiguration, Einsatzgrenzen und mögliche Fehlwirkungen festzuhalten. Der Nachweis muss zeigen, wie fehlerhafte Werkzeugausgaben erkannt werden und wie ein freigegebener Stand reproduzierbar erzeugt werden kann.</x:v>
      </x:c>
      <x:c r="H42" s="76" t="str">
        <x:v>IEC 61508-7, B.3.5; IEC 61508-3, 7.4.4</x:v>
      </x:c>
    </x:row>
    <x:row r="43" ht="100" customHeight="1">
      <x:c r="A43" s="74" t="str">
        <x:v>3</x:v>
      </x:c>
      <x:c r="B43" s="74" t="str">
        <x:v>Tabelle A.4 – Detaillierter Entwurf
Defensive Programmierung</x:v>
      </x:c>
      <x:c r="C43" s="74" t="str">
        <x:v>C.2.5</x:v>
      </x:c>
      <x:c r="D43" s="74" t="str">
        <x:v>O</x:v>
      </x:c>
      <x:c r="E43" s="74" t="str">
        <x:v>+</x:v>
      </x:c>
      <x:c r="F43" s="74" t="str">
        <x:v>++</x:v>
      </x:c>
      <x:c r="G43" s="76" t="str">
        <x:v>Wertebereiche, Plausibilität, Parameter, Datenflüsse und interne Zustände werden zur Laufzeit kontrolliert. Erkannte Abweichungen lösen eine definierte, beherrschte Reaktion aus. Die zulässigen Regeln und Einschränkungen müssen projektweit verbindlich, prüfbar und für die verwendete Sprache konkretisiert sein. Regelabweichungen benötigen eine dokumentierte Begründung, Risikobewertung und zusätzliche Verifikation.</x:v>
      </x:c>
      <x:c r="H43" s="76" t="str">
        <x:v>IEC 61508-7, C.2.5</x:v>
      </x:c>
    </x:row>
    <x:row r="44" ht="100" customHeight="1">
      <x:c r="A44" s="74" t="str">
        <x:v>4</x:v>
      </x:c>
      <x:c r="B44" s="74" t="str">
        <x:v>Tabelle A.4 – Detaillierter Entwurf
Modularer Ansatz</x:v>
      </x:c>
      <x:c r="C44" s="74" t="str">
        <x:v>Tabelle B.9</x:v>
      </x:c>
      <x:c r="D44" s="74" t="str">
        <x:v>++</x:v>
      </x:c>
      <x:c r="E44" s="74" t="str">
        <x:v>++</x:v>
      </x:c>
      <x:c r="F44" s="74" t="str">
        <x:v>++</x:v>
      </x:c>
      <x:c r="G44" s="76" t="str">
        <x:v>Module müssen begrenzt, verständlich und möglichst unabhängig sein. Schnittstellen, Ein-/Ausgänge, Parameter und Abhängigkeiten werden vollständig definiert; Größe und Komplexität werden begrenzt. Die konkrete Architektur muss Zuständigkeiten, Schnittstellen, Abhängigkeiten, Ressourcen und Fehlerreaktionen eindeutig erkennen lassen. Als Nachweis dienen freigegebene Entwurfsunterlagen sowie Analysen oder Tests, die die geforderten Eigenschaften und Grenzen bestätigen.</x:v>
      </x:c>
      <x:c r="H44" s="76" t="str">
        <x:v>IEC 61508-3, Tabelle B.9; IEC 61508-7, C.2.8, C.2.9 und C.5.13</x:v>
      </x:c>
    </x:row>
    <x:row r="45" ht="100" customHeight="1">
      <x:c r="A45" s="74" t="str">
        <x:v>5</x:v>
      </x:c>
      <x:c r="B45" s="74" t="str">
        <x:v>Tabelle A.4 – Detaillierter Entwurf
Entwurfs- und Programmierrichtlinien</x:v>
      </x:c>
      <x:c r="C45" s="74" t="str">
        <x:v>C.2.6, Tabelle B.1</x:v>
      </x:c>
      <x:c r="D45" s="74" t="str">
        <x:v>+</x:v>
      </x:c>
      <x:c r="E45" s="74" t="str">
        <x:v>++</x:v>
      </x:c>
      <x:c r="F45" s="74" t="str">
        <x:v>++</x:v>
      </x:c>
      <x:c r="G45" s="76" t="str">
        <x:v>Projektweit verbindliche Regeln unterstützen Entwicklung, Verifikation und Wartung. Sie behandeln insbesondere dynamische Objekte/Variablen, Interrupts, Pointer, Rekursion, Kontrollfluss und Typkonvertierung. Die zulässigen Regeln und Einschränkungen müssen projektweit verbindlich, prüfbar und für die verwendete Sprache konkretisiert sein. Regelabweichungen benötigen eine dokumentierte Begründung, Risikobewertung und zusätzliche Verifikation.</x:v>
      </x:c>
      <x:c r="H45" s="76" t="str">
        <x:v>IEC 61508-7, C.2.6.1 bis C.2.6.7; IEC 61508-3, Tabelle B.1 und 7.4.4.12 bis 7.4.4.13</x:v>
      </x:c>
    </x:row>
    <x:row r="46" ht="100" customHeight="1">
      <x:c r="A46" s="74" t="str">
        <x:v>6</x:v>
      </x:c>
      <x:c r="B46" s="74" t="str">
        <x:v>Tabelle A.4 – Detaillierter Entwurf
Strukturierte Programmierung</x:v>
      </x:c>
      <x:c r="C46" s="74" t="str">
        <x:v>C.2.7</x:v>
      </x:c>
      <x:c r="D46" s="74" t="str">
        <x:v>++</x:v>
      </x:c>
      <x:c r="E46" s="74" t="str">
        <x:v>++</x:v>
      </x:c>
      <x:c r="F46" s="74" t="str">
        <x:v>++</x:v>
      </x:c>
      <x:c r="G46" s="76" t="str">
        <x:v>Der Code verwendet überschaubare Module sowie analysierbare Sequenz-, Auswahl- und Wiederholungsstrukturen. Unbedingte Sprünge, komplizierte Verzweigungen und schwer begrenzbare Schleifen sind zu vermeiden. Die zulässigen Regeln und Einschränkungen müssen projektweit verbindlich, prüfbar und für die verwendete Sprache konkretisiert sein. Regelabweichungen benötigen eine dokumentierte Begründung, Risikobewertung und zusätzliche Verifikation.</x:v>
      </x:c>
      <x:c r="H46" s="76" t="str">
        <x:v>IEC 61508-7, C.2.7</x:v>
      </x:c>
    </x:row>
    <x:row r="47" ht="100" customHeight="1">
      <x:c r="A47" s="74" t="str">
        <x:v>7</x:v>
      </x:c>
      <x:c r="B47" s="74" t="str">
        <x:v>Tabelle A.4 – Detaillierter Entwurf
Verwendung bewährter/verifizierter Softwareelemente (wenn verfügbar)</x:v>
      </x:c>
      <x:c r="C47" s="74" t="str">
        <x:v>C.2.10</x:v>
      </x:c>
      <x:c r="D47" s="74" t="str">
        <x:v>+</x:v>
      </x:c>
      <x:c r="E47" s="74" t="str">
        <x:v>++</x:v>
      </x:c>
      <x:c r="F47" s="74" t="str">
        <x:v>++</x:v>
      </x:c>
      <x:c r="G47" s="76" t="str">
        <x:v>Für wiederverwendete Elemente sind Herkunft, Version, Einsatzgrenzen, bekannte Fehler, Verifikations-/Validierungsnachweise und vergleichbare Betriebserfahrung zu dokumentieren. Herkunft, Version, bekannte Fehler, Einsatzgrenzen, Sicherheitshandbuch und Nachweise aus vergleichbaren Anwendungen müssen zur neuen Verwendung passen. Abweichungen vom belegten Einsatzbereich erfordern zusätzliche Analyse, Verifikation und Validierung.</x:v>
      </x:c>
      <x:c r="H47" s="76" t="str">
        <x:v>IEC 61508-7, C.2.10; IEC 61508-3, 7.4.2.12 und 7.4.2.13</x:v>
      </x:c>
    </x:row>
    <x:row r="48" ht="100" customHeight="1">
      <x:c r="A48" s="74" t="str">
        <x:v>8</x:v>
      </x:c>
      <x:c r="B48" s="74" t="str">
        <x:v>Tabelle A.4 – Detaillierter Entwurf
Vorwärtsverfolgbarkeit von der Spezifikation der Anforderungen an die Sicherheit der Software zum Softwareentwurf</x:v>
      </x:c>
      <x:c r="C48" s="74" t="str">
        <x:v>C.2.11</x:v>
      </x:c>
      <x:c r="D48" s="74" t="str">
        <x:v>+</x:v>
      </x:c>
      <x:c r="E48" s="74" t="str">
        <x:v>+</x:v>
      </x:c>
      <x:c r="F48" s="74" t="str">
        <x:v>++</x:v>
      </x:c>
      <x:c r="G48" s="76" t="str">
        <x:v>Jede Sicherheitsanforderung muss bis zu den zugehörigen Entwurfselementen und Modulen verfolgt werden können. Fehlende Zuordnungen, Teilumsetzungen und Änderungsfolgen müssen sichtbar werden. Im Review ist eine versionsbezogene Verfolgbarkeitsmatrix zu erwarten, die Quelle, Ziel, Prüfnachweis und offene Abweichungen eindeutig miteinander verbindet. Fehlende oder unbegründete Zuordnungen müssen bewertet und geschlossen werden.</x:v>
      </x:c>
      <x:c r="H48" s="76" t="str">
        <x:v>IEC 61508-7, C.2.11</x:v>
      </x:c>
    </x:row>
    <x:row r="49" ht="100" customHeight="1">
      <x:c r="A49" s="74" t="str">
        <x:v>1</x:v>
      </x:c>
      <x:c r="B49" s="74" t="str">
        <x:v>Tabelle A.5 – Test der Softwaremodule und Integration
Statistische Tests</x:v>
      </x:c>
      <x:c r="C49" s="74" t="str">
        <x:v>C.5.1</x:v>
      </x:c>
      <x:c r="D49" s="74" t="str">
        <x:v>O</x:v>
      </x:c>
      <x:c r="E49" s="74" t="str">
        <x:v>+</x:v>
      </x:c>
      <x:c r="F49" s="74" t="str">
        <x:v>+</x:v>
      </x:c>
      <x:c r="G49" s="76" t="str">
        <x:v>Statistische Tests ermöglichen quantitative Aussagen über Zuverlässigkeit oder Versagenswahrscheinlichkeit. Betriebsprofil, Stichprobenumfang, Vertrauensniveau und Auswertung müssen vorab festgelegt sein.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49" s="76" t="str">
        <x:v>IEC 61508-7, C.5.1</x:v>
      </x:c>
    </x:row>
    <x:row r="50" ht="100" customHeight="1">
      <x:c r="A50" s="74" t="str">
        <x:v>2</x:v>
      </x:c>
      <x:c r="B50" s="74" t="str">
        <x:v>Tabelle A.5 – Test der Softwaremodule und Integration
Dynamische Analyse und Test</x:v>
      </x:c>
      <x:c r="C50" s="74" t="str">
        <x:v>B.6.5, Tabelle B.2</x:v>
      </x:c>
      <x:c r="D50" s="74" t="str">
        <x:v>+</x:v>
      </x:c>
      <x:c r="E50" s="74" t="str">
        <x:v>++</x:v>
      </x:c>
      <x:c r="F50" s="74" t="str">
        <x:v>++</x:v>
      </x:c>
      <x:c r="G50" s="76" t="str">
        <x:v>Das reale Laufzeitverhalten wird mit repräsentativen Daten untersucht. Zu berücksichtigen sind Grenzwerte, Fehlererwartung/-einpflanzung, Modelle, Äquivalenzklassen, Leistungsaspekte und strukturabhängige Testabdeckung.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0" s="76" t="str">
        <x:v>IEC 61508-7, B.6.5, C.5.4 bis C.5.8, C.5.20 und C.5.27; IEC 61508-3, Tabelle B.2</x:v>
      </x:c>
    </x:row>
    <x:row r="51" ht="100" customHeight="1">
      <x:c r="A51" s="74" t="str">
        <x:v>3</x:v>
      </x:c>
      <x:c r="B51" s="74" t="str">
        <x:v>Tabelle A.5 – Test der Softwaremodule und Integration
Datenaufzeichnung und Analyse</x:v>
      </x:c>
      <x:c r="C51" s="74" t="str">
        <x:v>C.5.2</x:v>
      </x:c>
      <x:c r="D51" s="74" t="str">
        <x:v>++</x:v>
      </x:c>
      <x:c r="E51" s="74" t="str">
        <x:v>++</x:v>
      </x:c>
      <x:c r="F51" s="74" t="str">
        <x:v>++</x:v>
      </x:c>
      <x:c r="G51" s="76" t="str">
        <x:v>Tests, Ergebnisse, Entscheidungen, Probleme, Korrekturen und Begründungen werden nachvollziehbar aufgezeichnet, damit Verifikation, Bewertung, Regression und Wartung möglich bleiben.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1" s="76" t="str">
        <x:v>IEC 61508-7, C.5.2</x:v>
      </x:c>
    </x:row>
    <x:row r="52" ht="100" customHeight="1">
      <x:c r="A52" s="74" t="str">
        <x:v>4</x:v>
      </x:c>
      <x:c r="B52" s="74" t="str">
        <x:v>Tabelle A.5 – Test der Softwaremodule und Integration
Funktionstest und Black-Box-Test</x:v>
      </x:c>
      <x:c r="C52" s="74" t="str">
        <x:v>B.5.1, B.5.2, Tabelle B.3</x:v>
      </x:c>
      <x:c r="D52" s="74" t="str">
        <x:v>++</x:v>
      </x:c>
      <x:c r="E52" s="74" t="str">
        <x:v>++</x:v>
      </x:c>
      <x:c r="F52" s="74" t="str">
        <x:v>++</x:v>
      </x:c>
      <x:c r="G52" s="76" t="str">
        <x:v>Testfälle werden aus den Anforderungen abgeleitet und ohne Kenntnis der internen Implementierung ausgeführt. Normalbetrieb, Grenzwerte, Äquivalenzklassen, Fehlerfälle und spezifizierte Reaktionen werden geprüft.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2" s="76" t="str">
        <x:v>IEC 61508-7, B.5.1, B.5.2, B.6.6.2, C.5.4, C.5.7, C.5.17, C.5.18 und C.5.27; IEC 61508-3, Tabelle B.3</x:v>
      </x:c>
    </x:row>
    <x:row r="53" ht="100" customHeight="1">
      <x:c r="A53" s="74" t="str">
        <x:v>5</x:v>
      </x:c>
      <x:c r="B53" s="74" t="str">
        <x:v>Tabelle A.5 – Test der Softwaremodule und Integration
Leistungstest</x:v>
      </x:c>
      <x:c r="C53" s="74" t="str">
        <x:v>Tabelle B.6</x:v>
      </x:c>
      <x:c r="D53" s="74" t="str">
        <x:v>+</x:v>
      </x:c>
      <x:c r="E53" s="74" t="str">
        <x:v>+</x:v>
      </x:c>
      <x:c r="F53" s="74" t="str">
        <x:v>++</x:v>
      </x:c>
      <x:c r="G53" s="76" t="str">
        <x:v>Belastungsgrenzen, Reaktionszeiten, Speicherbeschränkungen und weitere Leistungsanforderungen werden unter definierten und reproduzierbaren Bedingungen geprüft.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3" s="76" t="str">
        <x:v>IEC 61508-3, Tabelle B.6; IEC 61508-7, C.5.19, C.5.21 und C.5.22</x:v>
      </x:c>
    </x:row>
    <x:row r="54" ht="100" customHeight="1">
      <x:c r="A54" s="74" t="str">
        <x:v>6</x:v>
      </x:c>
      <x:c r="B54" s="74" t="str">
        <x:v>Tabelle A.5 – Test der Softwaremodule und Integration
Modellbasiertes Testen</x:v>
      </x:c>
      <x:c r="C54" s="74" t="str">
        <x:v>C.5.27</x:v>
      </x:c>
      <x:c r="D54" s="74" t="str">
        <x:v>+</x:v>
      </x:c>
      <x:c r="E54" s="74" t="str">
        <x:v>+</x:v>
      </x:c>
      <x:c r="F54" s="74" t="str">
        <x:v>++</x:v>
      </x:c>
      <x:c r="G54" s="76" t="str">
        <x:v>Testfälle und erwartete Ergebnisse werden systematisch aus einem Modell erzeugt. Modell, Generierungsregeln, Abdeckung und Konsistenz zwischen Modell und Prüfling sind zu verifizieren.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4" s="76" t="str">
        <x:v>IEC 61508-7, C.5.27</x:v>
      </x:c>
    </x:row>
    <x:row r="55" ht="100" customHeight="1">
      <x:c r="A55" s="74" t="str">
        <x:v>7</x:v>
      </x:c>
      <x:c r="B55" s="74" t="str">
        <x:v>Tabelle A.5 – Test der Softwaremodule und Integration
Schnittstellentest</x:v>
      </x:c>
      <x:c r="C55" s="74" t="str">
        <x:v>C.5.3</x:v>
      </x:c>
      <x:c r="D55" s="74" t="str">
        <x:v>+</x:v>
      </x:c>
      <x:c r="E55" s="74" t="str">
        <x:v>+</x:v>
      </x:c>
      <x:c r="F55" s="74" t="str">
        <x:v>++</x:v>
      </x:c>
      <x:c r="G55" s="76" t="str">
        <x:v>Modul- und Teilsystemschnittstellen werden hinsichtlich Wertebereichen, Extremwerten, Datentypen, Reihenfolgen, Zeitverhalten und Fehlerreaktionen geprüft.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5" s="76" t="str">
        <x:v>IEC 61508-7, C.5.3</x:v>
      </x:c>
    </x:row>
    <x:row r="56" ht="100" customHeight="1">
      <x:c r="A56" s="74" t="str">
        <x:v>8</x:v>
      </x:c>
      <x:c r="B56" s="74" t="str">
        <x:v>Tabelle A.5 – Test der Softwaremodule und Integration
Testmanagement und Automatisierungswerkzeuge</x:v>
      </x:c>
      <x:c r="C56" s="74" t="str">
        <x:v>C.4.7</x:v>
      </x:c>
      <x:c r="D56" s="74" t="str">
        <x:v>+</x:v>
      </x:c>
      <x:c r="E56" s="74" t="str">
        <x:v>++</x:v>
      </x:c>
      <x:c r="F56" s="74" t="str">
        <x:v>++</x:v>
      </x:c>
      <x:c r="G56" s="76" t="str">
        <x:v>Werkzeuge unterstützen Testplanung, Ausführung, Ergebnisaufzeichnung und Regression. Versionen, Konfiguration, Skripte und Auswertungslogik sind zu kontrollieren und nach 7.4.4 zu qualifizieren.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6" s="76" t="str">
        <x:v>IEC 61508-7, C.4.7; IEC 61508-3, 7.4.4</x:v>
      </x:c>
    </x:row>
    <x:row r="57" ht="100" customHeight="1">
      <x:c r="A57" s="74" t="str">
        <x:v>9</x:v>
      </x:c>
      <x:c r="B57" s="74" t="str">
        <x:v>Tabelle A.5 – Test der Softwaremodule und Integration
Vorwärtsverfolgbarkeit von der Spezifikation des Softwareentwurfs zu den Spezifikationen des Modul- und Integrationstests</x:v>
      </x:c>
      <x:c r="C57" s="74" t="str">
        <x:v>C.2.11</x:v>
      </x:c>
      <x:c r="D57" s="74" t="str">
        <x:v>+</x:v>
      </x:c>
      <x:c r="E57" s="74" t="str">
        <x:v>+</x:v>
      </x:c>
      <x:c r="F57" s="74" t="str">
        <x:v>++</x:v>
      </x:c>
      <x:c r="G57" s="76" t="str">
        <x:v>Für jedes relevante Entwurfselement muss mindestens ein geeigneter Modul- oder Integrationstest zugeordnet sein. Fehlende Tests, nicht abgedeckte Schnittstellen und Regressionsbedarf müssen erkennbar sein. Im Review ist eine versionsbezogene Verfolgbarkeitsmatrix zu erwarten, die Quelle, Ziel, Prüfnachweis und offene Abweichungen eindeutig miteinander verbindet. Fehlende oder unbegründete Zuordnungen müssen bewertet und geschlossen werden.</x:v>
      </x:c>
      <x:c r="H57" s="76" t="str">
        <x:v>IEC 61508-7, C.2.11</x:v>
      </x:c>
    </x:row>
    <x:row r="58" ht="100" customHeight="1">
      <x:c r="A58" s="74" t="str">
        <x:v>10</x:v>
      </x:c>
      <x:c r="B58" s="74" t="str">
        <x:v>Tabelle A.5 – Test der Softwaremodule und Integration
Formale Verifikation</x:v>
      </x:c>
      <x:c r="C58" s="74" t="str">
        <x:v>C.5.12</x:v>
      </x:c>
      <x:c r="D58" s="74" t="str">
        <x:v>O</x:v>
      </x:c>
      <x:c r="E58" s="74" t="str">
        <x:v>O</x:v>
      </x:c>
      <x:c r="F58" s="74" t="str">
        <x:v>+</x:v>
      </x:c>
      <x:c r="G58" s="76" t="str">
        <x:v>Ausgewählte Programmeigenschaften werden gegenüber einem mathematischen Modell oder einer formalen Spezifikation bewiesen. Annahmen, Beweisziele, Werkzeuge und Ergebnisse sind zu dokumentieren. Für die Anwendung sind Prüfling und Version, Eingaben, Randbedingungen, Testumgebung, Akzeptanzkriterien sowie erwartete und tatsächliche Ergebnisse festzulegen. Abweichungen müssen dokumentiert, bewertet, korrigiert und mit der geänderten Version erneut geprüft werden.</x:v>
      </x:c>
      <x:c r="H58" s="76" t="str">
        <x:v>IEC 61508-7, C.5.12</x:v>
      </x:c>
    </x:row>
  </x:sheetData>
  <x:mergeCells>
    <x:mergeCell ref="A1:H2"/>
    <x:mergeCell ref="A3:H3"/>
  </x:mergeCells>
  <x:pageMargins left="0.7" right="0.7" top="0.75" bottom="0.75" header="0.3" footer="0.3"/>
  <x:tableParts count="1">
    <x:tablePart xmlns:r="http://schemas.openxmlformats.org/officeDocument/2006/relationships" r:id="Rf90130a18f48451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8" hidden="0" customWidth="1"/>
    <x:col min="4" max="4" width="38" hidden="0" customWidth="1"/>
  </x:cols>
  <x:sheetData>
    <x:row r="1" ht="34" customHeight="1">
      <x:c r="A1" s="6" t="str">
        <x:v>Legende und Anwendungshinweise</x:v>
      </x:c>
      <x:c r="B1" s="6" t="str">
        <x:v>Legende und Anwendungshinweise</x:v>
      </x:c>
      <x:c r="C1" s="6" t="str">
        <x:v>Legende und Anwendungshinweise</x:v>
      </x:c>
      <x:c r="D1" s="6" t="str">
        <x:v>Legende und Anwendungshinweise</x:v>
      </x:c>
    </x:row>
    <x:row r="2" ht="34" customHeight="1">
      <x:c r="A2" s="6" t="str">
        <x:v>Legende und Anwendungshinweise</x:v>
      </x:c>
      <x:c r="B2" s="6" t="str">
        <x:v>Legende und Anwendungshinweise</x:v>
      </x:c>
      <x:c r="C2" s="6" t="str">
        <x:v>Legende und Anwendungshinweise</x:v>
      </x:c>
      <x:c r="D2" s="6" t="str">
        <x:v>Legende und Anwendungshinweise</x:v>
      </x:c>
    </x:row>
    <x:row r="3">
      <x:c r="A3" s="2"/>
      <x:c r="B3" s="2"/>
      <x:c r="C3" s="2"/>
      <x:c r="D3" s="2"/>
    </x:row>
    <x:row r="4" ht="24" customHeight="1">
      <x:c r="A4" s="12" t="str">
        <x:v>Empfehlungsgrade nach IEC 61508</x:v>
      </x:c>
      <x:c r="B4" s="12" t="str">
        <x:v>Empfehlungsgrade nach IEC 61508</x:v>
      </x:c>
      <x:c r="C4" s="12" t="str">
        <x:v>Empfehlungsgrade nach IEC 61508</x:v>
      </x:c>
      <x:c r="D4" s="12" t="str">
        <x:v>Empfehlungsgrade nach IEC 61508</x:v>
      </x:c>
    </x:row>
    <x:row r="5">
      <x:c r="A5" s="36" t="str">
        <x:v>Kennzeichen</x:v>
      </x:c>
      <x:c r="B5" s="36" t="str">
        <x:v>Bedeutung</x:v>
      </x:c>
      <x:c r="C5" s="36" t="str">
        <x:v>Anwendung im Review</x:v>
      </x:c>
      <x:c r="D5" s="36" t="str">
        <x:v>Geltungsbereich</x:v>
      </x:c>
    </x:row>
    <x:row r="6" ht="48" customHeight="1">
      <x:c r="A6" s="51" t="str">
        <x:v>++</x:v>
      </x:c>
      <x:c r="B6" s="36" t="str">
        <x:v>Für diesen SIL besonders empfohlen</x:v>
      </x:c>
      <x:c r="C6" s="36" t="str">
        <x:v>Bevorzugt anzuwenden; Nichtanwendung nachvollziehbar begründen.</x:v>
      </x:c>
      <x:c r="D6" s="36" t="str">
        <x:v>SIL 1 bis SIL 3 gemäß Tabelle A.9</x:v>
      </x:c>
    </x:row>
    <x:row r="7" ht="48" customHeight="1">
      <x:c r="A7" s="51" t="str">
        <x:v>+</x:v>
      </x:c>
      <x:c r="B7" s="36" t="str">
        <x:v>Für diesen SIL empfohlen</x:v>
      </x:c>
      <x:c r="C7" s="36" t="str">
        <x:v>Anwendung einplanen oder eine geeignete Alternative begründen.</x:v>
      </x:c>
      <x:c r="D7" s="36" t="str">
        <x:v>SIL 1 bis SIL 3 gemäß Tabelle A.9</x:v>
      </x:c>
    </x:row>
    <x:row r="8" ht="48" customHeight="1">
      <x:c r="A8" s="51" t="str">
        <x:v>O</x:v>
      </x:c>
      <x:c r="B8" s="36" t="str">
        <x:v>Keine Empfehlung für oder gegen die Anwendung</x:v>
      </x:c>
      <x:c r="C8" s="36" t="str">
        <x:v>Einsatz projektspezifisch bewerten und dokumentieren.</x:v>
      </x:c>
      <x:c r="D8" s="36" t="str">
        <x:v>SIL 1 bis SIL 3 gemäß Tabelle A.9</x:v>
      </x:c>
    </x:row>
    <x:row r="9" ht="48" customHeight="1">
      <x:c r="A9" s="51" t="str">
        <x:v>--</x:v>
      </x:c>
      <x:c r="B9" s="36" t="str">
        <x:v>Für diesen SIL nicht empfohlen</x:v>
      </x:c>
      <x:c r="C9" s="36" t="str">
        <x:v>Nur mit belastbarer Begründung und geeigneten zusätzlichen Maßnahmen einsetzen.</x:v>
      </x:c>
      <x:c r="D9" s="36" t="str">
        <x:v>SIL 1 bis SIL 3 gemäß Tabelle A.9</x:v>
      </x:c>
    </x:row>
    <x:row r="10">
      <x:c r="A10" s="2"/>
      <x:c r="B10" s="2"/>
      <x:c r="C10" s="2"/>
      <x:c r="D10" s="2"/>
    </x:row>
    <x:row r="11" ht="24" customHeight="1">
      <x:c r="A11" s="12" t="str">
        <x:v>Arbeitsweise</x:v>
      </x:c>
      <x:c r="B11" s="12" t="str">
        <x:v>Arbeitsweise</x:v>
      </x:c>
      <x:c r="C11" s="12" t="str">
        <x:v>Arbeitsweise</x:v>
      </x:c>
      <x:c r="D11" s="12" t="str">
        <x:v>Arbeitsweise</x:v>
      </x:c>
    </x:row>
    <x:row r="12">
      <x:c r="A12" s="36" t="str">
        <x:v>Schritt</x:v>
      </x:c>
      <x:c r="B12" s="36" t="str">
        <x:v>Vorgehen</x:v>
      </x:c>
      <x:c r="C12" s="36" t="str">
        <x:v>Dokumentation</x:v>
      </x:c>
      <x:c r="D12" s="36" t="str">
        <x:v>Hinweis</x:v>
      </x:c>
    </x:row>
    <x:row r="13" ht="52" customHeight="1">
      <x:c r="A13" s="36" t="str">
        <x:v>1</x:v>
      </x:c>
      <x:c r="B13" s="36" t="str">
        <x:v>Reviewdaten auf dem Blatt „Übersicht“ ausfüllen.</x:v>
      </x:c>
      <x:c r="C13" s="36" t="str">
        <x:v>Projekt, Dokument, SIL, Teilnehmer und Termin erfassen.</x:v>
      </x:c>
      <x:c r="D13" s="36" t="str">
        <x:v>Gelbe Zellen sind Eingabefelder.</x:v>
      </x:c>
    </x:row>
    <x:row r="14" ht="52" customHeight="1">
      <x:c r="A14" s="36" t="str">
        <x:v>2</x:v>
      </x:c>
      <x:c r="B14" s="36" t="str">
        <x:v>Eingabe- und Ausgabedokumente registrieren.</x:v>
      </x:c>
      <x:c r="C14" s="36" t="str">
        <x:v>Dokumentkennung, Version, Status, Verantwortlichen und Ablageort eintragen.</x:v>
      </x:c>
      <x:c r="D14" s="36" t="str">
        <x:v>Die IDs D01 bis D26 sind für Kapitel 7.4 vorbereitet.</x:v>
      </x:c>
    </x:row>
    <x:row r="15" ht="52" customHeight="1">
      <x:c r="A15" s="36" t="str">
        <x:v>3</x:v>
      </x:c>
      <x:c r="B15" s="36" t="str">
        <x:v>Jeden Prüfpunkt auf dem Blatt „Review 7.4“ bewerten.</x:v>
      </x:c>
      <x:c r="C15" s="36" t="str">
        <x:v>Prüfergebnis konkret formulieren und die zugehörigen Dokument-IDs prüfen.</x:v>
      </x:c>
      <x:c r="D15" s="36" t="str">
        <x:v>Status / OK über das Auswahlfeld setzen.</x:v>
      </x:c>
    </x:row>
    <x:row r="16" ht="52" customHeight="1">
      <x:c r="A16" s="36" t="str">
        <x:v>4</x:v>
      </x:c>
      <x:c r="B16" s="36" t="str">
        <x:v>Abweichungen oder Beschlüsse auf „Maßnahmen“ übernehmen.</x:v>
      </x:c>
      <x:c r="C16" s="36" t="str">
        <x:v>Prüfpunkt, Verantwortlichen, Fälligkeit und Status eintragen.</x:v>
      </x:c>
      <x:c r="D16" s="36" t="str">
        <x:v>IDs M-01 bis M-20 sind vorbereitet.</x:v>
      </x:c>
    </x:row>
    <x:row r="17" ht="52" customHeight="1">
      <x:c r="A17" s="36" t="str">
        <x:v>5</x:v>
      </x:c>
      <x:c r="B17" s="36" t="str">
        <x:v>Verfahren aus „Anhang A.2–A.5“ SIL-bezogen berücksichtigen.</x:v>
      </x:c>
      <x:c r="C17" s="36" t="str">
        <x:v>Erläuterungen und Normreferenzen als Prüfhilfe verwenden.</x:v>
      </x:c>
      <x:c r="D17" s="36" t="str">
        <x:v>SIL 4 ist nicht Bestandteil dieser Arbeitsmappe.</x:v>
      </x:c>
    </x:row>
    <x:row r="18" ht="52" customHeight="1">
      <x:c r="A18" s="36" t="str">
        <x:v>6</x:v>
      </x:c>
      <x:c r="B18" s="36" t="str">
        <x:v>Gesamtergebnis auf „Übersicht“ festlegen.</x:v>
      </x:c>
      <x:c r="C18" s="36" t="str">
        <x:v>Ergebnis, Begründung und Zusammenfassung eintragen.</x:v>
      </x:c>
      <x:c r="D18" s="36" t="str">
        <x:v>Fortschrittskennzahlen werden automatisch berechnet.</x:v>
      </x:c>
    </x:row>
    <x:row r="19" ht="52" customHeight="1">
      <x:c r="A19" s="36" t="str">
        <x:v>7</x:v>
      </x:c>
      <x:c r="B19" s="36" t="str">
        <x:v>Teilnehmer auf „Unterschriften“ dokumentieren.</x:v>
      </x:c>
      <x:c r="C19" s="36" t="str">
        <x:v>Name, Funktion, Datum und Bestätigung eintragen.</x:v>
      </x:c>
      <x:c r="D19" s="36" t="str">
        <x:v>Kann digital oder nach Ausdruck verwendet werden.</x:v>
      </x:c>
    </x:row>
    <x:row r="20">
      <x:c r="A20" s="2"/>
      <x:c r="B20" s="2"/>
      <x:c r="C20" s="2"/>
      <x:c r="D20" s="2"/>
    </x:row>
    <x:row r="21">
      <x:c r="A21" s="53" t="str">
        <x:v>Quelle: IEC61508-3_Kap_7.4_Reviewprotokoll_Endfassung_2026-08-05.docx</x:v>
      </x:c>
      <x:c r="B21" s="53" t="str">
        <x:v>Quelle: IEC61508-3_Kap_7.4_Reviewprotokoll_Endfassung_2026-08-05.docx</x:v>
      </x:c>
      <x:c r="C21" s="53" t="str">
        <x:v>Quelle: IEC61508-3_Kap_7.4_Reviewprotokoll_Endfassung_2026-08-05.docx</x:v>
      </x:c>
      <x:c r="D21" s="53" t="str">
        <x:v>Quelle: IEC61508-3_Kap_7.4_Reviewprotokoll_Endfassung_2026-08-05.docx</x:v>
      </x:c>
    </x:row>
    <x:row r="22">
      <x:c r="A22" s="2"/>
      <x:c r="B22" s="2"/>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9c66037750a2456c"/>
    <x:tablePart xmlns:r="http://schemas.openxmlformats.org/officeDocument/2006/relationships" r:id="R4a9bd680cbca40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2" hidden="0" customWidth="1"/>
    <x:col min="2" max="2" width="18" hidden="0" customWidth="1"/>
    <x:col min="3" max="3" width="38" hidden="0" customWidth="1"/>
  </x:cols>
  <x:sheetData>
    <x:row r="1" ht="34" customHeight="1">
      <x:c r="A1" s="6" t="str">
        <x:v>Anhang Formblatt Unterschriften</x:v>
      </x:c>
      <x:c r="B1" s="6" t="str">
        <x:v>Anhang Formblatt Unterschriften</x:v>
      </x:c>
      <x:c r="C1" s="6" t="str">
        <x:v>Anhang Formblatt Unterschriften</x:v>
      </x:c>
    </x:row>
    <x:row r="2" ht="34" customHeight="1">
      <x:c r="A2" s="6" t="str">
        <x:v>Anhang Formblatt Unterschriften</x:v>
      </x:c>
      <x:c r="B2" s="6" t="str">
        <x:v>Anhang Formblatt Unterschriften</x:v>
      </x:c>
      <x:c r="C2" s="6" t="str">
        <x:v>Anhang Formblatt Unterschriften</x:v>
      </x:c>
    </x:row>
    <x:row r="3">
      <x:c r="A3" s="2"/>
      <x:c r="B3" s="2"/>
      <x:c r="C3" s="2"/>
    </x:row>
    <x:row r="4">
      <x:c r="A4" s="40" t="str">
        <x:v>Name, Vorname, Abteilung, Funktion</x:v>
      </x:c>
      <x:c r="B4" s="40" t="str">
        <x:v>Datum</x:v>
      </x:c>
      <x:c r="C4" s="40" t="str">
        <x:v>Unterschrift / Bestätigung</x:v>
      </x:c>
    </x:row>
    <x:row r="5" ht="48" customHeight="1">
      <x:c r="A5" s="19" t="str"/>
      <x:c r="B5" s="20" t="str"/>
      <x:c r="C5" s="19" t="str"/>
    </x:row>
    <x:row r="6" ht="48" customHeight="1">
      <x:c r="A6" s="19" t="str"/>
      <x:c r="B6" s="20" t="str"/>
      <x:c r="C6" s="19" t="str"/>
    </x:row>
    <x:row r="7" ht="48" customHeight="1">
      <x:c r="A7" s="19" t="str"/>
      <x:c r="B7" s="20" t="str"/>
      <x:c r="C7" s="19" t="str"/>
    </x:row>
    <x:row r="8" ht="48" customHeight="1">
      <x:c r="A8" s="19" t="str"/>
      <x:c r="B8" s="20" t="str"/>
      <x:c r="C8" s="19" t="str"/>
    </x:row>
    <x:row r="9" ht="48" customHeight="1">
      <x:c r="A9" s="19" t="str"/>
      <x:c r="B9" s="20" t="str"/>
      <x:c r="C9" s="19" t="str"/>
    </x:row>
    <x:row r="10" ht="48" customHeight="1">
      <x:c r="A10" s="19" t="str"/>
      <x:c r="B10" s="20" t="str"/>
      <x:c r="C10" s="19" t="str"/>
    </x:row>
    <x:row r="11" ht="48" customHeight="1">
      <x:c r="A11" s="19" t="str"/>
      <x:c r="B11" s="20" t="str"/>
      <x:c r="C11" s="19" t="str"/>
    </x:row>
    <x:row r="12">
      <x:c r="A12" s="2"/>
      <x:c r="B12" s="2"/>
      <x:c r="C12" s="2"/>
    </x:row>
    <x:row r="13">
      <x:c r="A13" s="2"/>
      <x:c r="B13" s="2"/>
      <x:c r="C13" s="2"/>
    </x:row>
    <x:row r="14">
      <x:c r="A14" s="2"/>
      <x:c r="B14" s="2"/>
      <x:c r="C14" s="2"/>
    </x:row>
    <x:row r="15">
      <x:c r="A15" s="2"/>
      <x:c r="B15" s="2"/>
      <x:c r="C15" s="2"/>
    </x:row>
    <x:row r="16">
      <x:c r="A16" s="2"/>
      <x:c r="B16" s="2"/>
      <x:c r="C16" s="2"/>
    </x:row>
  </x:sheetData>
  <x:mergeCells>
    <x:mergeCell ref="A1:C2"/>
  </x:mergeCells>
  <x:pageMargins left="0.7" right="0.7" top="0.75" bottom="0.75" header="0.3" footer="0.3"/>
  <x:tableParts count="1">
    <x:tablePart xmlns:r="http://schemas.openxmlformats.org/officeDocument/2006/relationships" r:id="R312471c632214f1b"/>
  </x:tableParts>
</x:worksheet>
</file>