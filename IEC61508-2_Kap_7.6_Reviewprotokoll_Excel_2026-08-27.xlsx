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854d2c1186b444f" /></Relationships>
</file>

<file path=xl/workbook.xml><?xml version="1.0" encoding="utf-8"?>
<x:workbook xmlns:x="http://schemas.openxmlformats.org/spreadsheetml/2006/main">
  <x:sheets>
    <x:sheet xmlns:r="http://schemas.openxmlformats.org/officeDocument/2006/relationships" name="Übersicht" sheetId="1" r:id="Reb59b2f57f9c4866"/>
    <x:sheet xmlns:r="http://schemas.openxmlformats.org/officeDocument/2006/relationships" name="Review 7.6" sheetId="2" r:id="R13cc30eb4c1e49fb"/>
    <x:sheet xmlns:r="http://schemas.openxmlformats.org/officeDocument/2006/relationships" name="Eingabe- &amp; Ausgabe" sheetId="3" r:id="Redf2057aac0f4ae4"/>
    <x:sheet xmlns:r="http://schemas.openxmlformats.org/officeDocument/2006/relationships" name="Maßnahmen" sheetId="4" r:id="R4b39a164d79b4bb0"/>
    <x:sheet xmlns:r="http://schemas.openxmlformats.org/officeDocument/2006/relationships" name="Legende &amp; Hinweise" sheetId="5" r:id="R3f7e7495f9d94e83"/>
    <x:sheet xmlns:r="http://schemas.openxmlformats.org/officeDocument/2006/relationships" name="Unterschriften" sheetId="6" r:id="R4d6bdde0c0714cec"/>
    <x:sheet xmlns:r="http://schemas.openxmlformats.org/officeDocument/2006/relationships" name="Referenzen Teil 7" sheetId="7" r:id="R45f10914d02542f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8"/>
      <x:color rgb="FFFFFFFF"/>
      <x:name val="Carlito"/>
    </x:font>
    <x:font>
      <x:i/>
      <x:sz val="11"/>
      <x:color rgb="FF17365D"/>
      <x:name val="Carlito"/>
    </x:font>
    <x:font>
      <x:b/>
      <x:sz val="11"/>
      <x:color rgb="FFFFFFFF"/>
      <x:name val="Carlito"/>
    </x:font>
    <x:font>
      <x:sz val="11"/>
      <x:color rgb="FF222222"/>
      <x:name val="Carlito"/>
    </x:font>
    <x:font>
      <x:b/>
      <x:sz val="11"/>
      <x:color rgb="FF17365D"/>
      <x:name val="Carlito"/>
    </x:font>
    <x:font>
      <x:sz val="11"/>
      <x:color rgb="FF17365D"/>
      <x:name val="Carlito"/>
    </x:font>
  </x:fonts>
  <x:fills count="11">
    <x:fill>
      <x:patternFill patternType="none"/>
    </x:fill>
    <x:fill>
      <x:patternFill patternType="gray125"/>
    </x:fill>
    <x:fill>
      <x:patternFill patternType="solid">
        <x:fgColor rgb="FF1D4168"/>
      </x:patternFill>
    </x:fill>
    <x:fill>
      <x:patternFill patternType="solid">
        <x:fgColor rgb="FFE7F1F8"/>
      </x:patternFill>
    </x:fill>
    <x:fill>
      <x:patternFill patternType="solid">
        <x:fgColor rgb="FF275D8C"/>
      </x:patternFill>
    </x:fill>
    <x:fill>
      <x:patternFill patternType="solid">
        <x:fgColor rgb="FFFFFFFF"/>
      </x:patternFill>
    </x:fill>
    <x:fill>
      <x:patternFill patternType="solid">
        <x:fgColor rgb="FFFFF2CC"/>
      </x:patternFill>
    </x:fill>
    <x:fill>
      <x:patternFill patternType="solid">
        <x:fgColor rgb="FF5B9BD5"/>
      </x:patternFill>
    </x:fill>
    <x:fill>
      <x:patternFill patternType="solid">
        <x:fgColor rgb="FF0D6A7D"/>
      </x:patternFill>
    </x:fill>
    <x:fill>
      <x:patternFill patternType="solid">
        <x:fgColor rgb="FFE7E6E6"/>
      </x:patternFill>
    </x:fill>
    <x:fill>
      <x:patternFill patternType="solid">
        <x:fgColor rgb="FFF2F2F2"/>
      </x:patternFill>
    </x:fill>
  </x:fills>
  <x:borders count="3">
    <x:border/>
    <x:border>
      <x:left style="thin">
        <x:color rgb="FFB4C7DC"/>
      </x:left>
      <x:right style="thin">
        <x:color rgb="FFB4C7DC"/>
      </x:right>
      <x:top style="thin">
        <x:color rgb="FFB4C7DC"/>
      </x:top>
      <x:bottom style="thin">
        <x:color rgb="FFB4C7DC"/>
      </x:bottom>
    </x:border>
    <x:border>
      <x:left style="thin">
        <x:color rgb="FFFFFFFF"/>
      </x:left>
      <x:right style="thin">
        <x:color rgb="FFFFFFFF"/>
      </x:right>
      <x:top style="thin">
        <x:color rgb="FFFFFFFF"/>
      </x:top>
      <x:bottom style="thin">
        <x:color rgb="FFFFFFFF"/>
      </x:bottom>
    </x:border>
  </x:borders>
  <x:cellStyleXfs count="1">
    <x:xf numFmtId="0" fontId="0" fillId="0" borderId="0"/>
  </x:cellStyleXfs>
  <x:cellXfs count="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5" fillId="3" borderId="1"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6" fillId="3" borderId="0" xfId="0" applyNumberFormat="1" applyFont="1" applyFill="1" applyBorder="1"/>
    <x:xf numFmtId="0" fontId="6" fillId="3" borderId="1" xfId="0" applyNumberFormat="1" applyFont="1" applyFill="1" applyBorder="1"/>
    <x:xf numFmtId="0" fontId="6" fillId="6" borderId="1" xfId="0" applyNumberFormat="1" applyFont="1" applyFill="1" applyBorder="1"/>
    <x:xf numFmtId="0" fontId="6" fillId="5" borderId="0" xfId="0" applyNumberFormat="1" applyFont="1" applyFill="1" applyBorder="1"/>
    <x:xf numFmtId="0" fontId="6" fillId="5" borderId="1"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3" fillId="7" borderId="2" xfId="0" applyNumberFormat="1" applyFont="1" applyFill="1" applyBorder="1"/>
    <x:xf numFmtId="0" fontId="3" fillId="7" borderId="2" xfId="0" applyNumberFormat="1" applyFont="1" applyFill="1" applyBorder="1" applyAlignment="1">
      <x:alignment horizontal="center"/>
    </x:xf>
    <x:xf numFmtId="0" fontId="5" fillId="3" borderId="0" xfId="0" applyNumberFormat="1" applyFont="1" applyFill="1" applyBorder="1"/>
    <x:xf numFmtId="0" fontId="5" fillId="3" borderId="1" xfId="0" applyNumberFormat="1" applyFont="1" applyFill="1" applyBorder="1"/>
    <x:xf numFmtId="0" fontId="5" fillId="3" borderId="1" xfId="0" applyNumberFormat="1" applyFont="1" applyFill="1" applyBorder="1" applyAlignment="1">
      <x:alignment horizontal="center"/>
    </x:xf>
    <x:xf numFmtId="200" fontId="5" fillId="3" borderId="1" xfId="0" applyNumberFormat="1" applyFont="1" applyFill="1" applyBorder="1" applyAlignment="1">
      <x:alignment horizontal="center"/>
    </x:xf>
    <x:xf numFmtId="0" fontId="0" fillId="6" borderId="0" xfId="0" applyNumberFormat="1" applyFont="1" applyFill="1" applyBorder="1"/>
    <x:xf numFmtId="0" fontId="0" fillId="6" borderId="1"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top" wrapText="1"/>
    </x:xf>
    <x:xf numFmtId="0" fontId="0" fillId="6" borderId="1" xfId="0" applyNumberFormat="1" applyFont="1" applyFill="1" applyBorder="1" applyAlignment="1">
      <x:alignment wrapText="1"/>
    </x:xf>
    <x:xf numFmtId="0" fontId="0" fillId="6" borderId="1" xfId="0" applyNumberFormat="1" applyFont="1" applyFill="1" applyBorder="1" applyAlignment="1">
      <x:alignment vertical="top" wrapText="1"/>
    </x:xf>
    <x:xf numFmtId="0" fontId="3" fillId="2" borderId="0" xfId="0" applyNumberFormat="1" applyFont="1" applyFill="1" applyBorder="1"/>
    <x:xf numFmtId="0" fontId="3" fillId="2" borderId="2" xfId="0" applyNumberFormat="1" applyFont="1" applyFill="1" applyBorder="1"/>
    <x:xf numFmtId="0" fontId="3" fillId="2" borderId="2"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vertical="center" wrapText="1"/>
    </x:xf>
    <x:xf numFmtId="0" fontId="4" fillId="9" borderId="1" xfId="0" applyNumberFormat="1" applyFont="1" applyFill="1" applyBorder="1" applyAlignment="1">
      <x:alignment vertical="top" wrapText="1"/>
    </x:xf>
    <x:xf numFmtId="0" fontId="3" fillId="4" borderId="2" xfId="0" applyNumberFormat="1" applyFont="1" applyFill="1" applyBorder="1"/>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4" fillId="6" borderId="0"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2" fillId="1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305a7fbdfff4e5a" /><Relationship Type="http://schemas.openxmlformats.org/officeDocument/2006/relationships/theme" Target="/xl/theme/theme1.xml" Id="Rbcbd35e827de4c00" /><Relationship Type="http://schemas.openxmlformats.org/officeDocument/2006/relationships/sharedStrings" Target="/xl/sharedStrings.xml" Id="Raec15123fe224a94" /><Relationship Type="http://schemas.openxmlformats.org/officeDocument/2006/relationships/worksheet" Target="/xl/worksheets/sheet1.xml" Id="Reb59b2f57f9c4866" /><Relationship Type="http://schemas.openxmlformats.org/officeDocument/2006/relationships/worksheet" Target="/xl/worksheets/sheet2.xml" Id="R13cc30eb4c1e49fb" /><Relationship Type="http://schemas.openxmlformats.org/officeDocument/2006/relationships/worksheet" Target="/xl/worksheets/sheet3.xml" Id="Redf2057aac0f4ae4" /><Relationship Type="http://schemas.openxmlformats.org/officeDocument/2006/relationships/worksheet" Target="/xl/worksheets/sheet4.xml" Id="R4b39a164d79b4bb0" /><Relationship Type="http://schemas.openxmlformats.org/officeDocument/2006/relationships/worksheet" Target="/xl/worksheets/sheet5.xml" Id="R3f7e7495f9d94e83" /><Relationship Type="http://schemas.openxmlformats.org/officeDocument/2006/relationships/worksheet" Target="/xl/worksheets/sheet6.xml" Id="R4d6bdde0c0714cec" /><Relationship Type="http://schemas.openxmlformats.org/officeDocument/2006/relationships/worksheet" Target="/xl/worksheets/sheet7.xml" Id="R45f10914d02542f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14" hidden="0" customWidth="1"/>
    <x:col min="4" max="4" width="14" hidden="0" customWidth="1"/>
    <x:col min="5" max="5" width="23" hidden="0" customWidth="1"/>
    <x:col min="6" max="6" width="23" hidden="0" customWidth="1"/>
    <x:col min="7" max="7" width="22" hidden="0" customWidth="1"/>
    <x:col min="8" max="8" width="22" hidden="0" customWidth="1"/>
  </x:cols>
  <x:sheetData>
    <x:row r="1" ht="28" customHeight="1">
      <x:c r="A1" s="4" t="str">
        <x:v>Reviewprotokoll IEC 61508-2 – Kapitel 7.6
Betriebs- und Instandhaltungsverfahren für das E/E/PE-System</x:v>
      </x:c>
      <x:c r="B1" s="4"/>
      <x:c r="C1" s="4"/>
      <x:c r="D1" s="4"/>
      <x:c r="E1" s="4"/>
      <x:c r="F1" s="4"/>
      <x:c r="G1" s="4"/>
      <x:c r="H1" s="4"/>
    </x:row>
    <x:row r="2" ht="28" customHeight="1">
      <x:c r="A2" s="4"/>
      <x:c r="B2" s="4"/>
      <x:c r="C2" s="4"/>
      <x:c r="D2" s="4"/>
      <x:c r="E2" s="4"/>
      <x:c r="F2" s="4"/>
      <x:c r="G2" s="4"/>
      <x:c r="H2" s="4"/>
    </x:row>
    <x:row r="3" ht="24" customHeight="1">
      <x:c r="A3" s="8" t="str">
        <x:v>Strukturierte Arbeitsmappe für SIL 1 bis SIL 3 · Eingabefelder sind gelb markiert</x:v>
      </x:c>
      <x:c r="B3" s="8"/>
      <x:c r="C3" s="8"/>
      <x:c r="D3" s="8"/>
      <x:c r="E3" s="8"/>
      <x:c r="F3" s="8"/>
      <x:c r="G3" s="8"/>
      <x:c r="H3" s="8"/>
    </x:row>
    <x:row r="5">
      <x:c r="A5" s="12" t="str">
        <x:v>Reviewdaten</x:v>
      </x:c>
      <x:c r="B5" s="12"/>
      <x:c r="C5" s="12"/>
      <x:c r="D5" s="12"/>
      <x:c r="E5" s="12"/>
      <x:c r="F5" s="12"/>
      <x:c r="G5" s="12"/>
      <x:c r="H5" s="12"/>
    </x:row>
    <x:row r="6">
      <x:c r="A6" s="19" t="str">
        <x:v>Projekt / Teilprojekt</x:v>
      </x:c>
      <x:c r="B6" s="20" t="str"/>
      <x:c r="C6" s="20" t="str"/>
      <x:c r="D6" s="20" t="str"/>
      <x:c r="E6" s="19" t="str">
        <x:v>Review-Gegenstand</x:v>
      </x:c>
      <x:c r="F6" s="20" t="str"/>
      <x:c r="G6" s="20" t="str"/>
      <x:c r="H6" s="20" t="str"/>
    </x:row>
    <x:row r="7">
      <x:c r="A7" s="19" t="str">
        <x:v>Dokument / Referenz</x:v>
      </x:c>
      <x:c r="B7" s="20" t="str"/>
      <x:c r="C7" s="20" t="str"/>
      <x:c r="D7" s="20" t="str"/>
      <x:c r="E7" s="19" t="str">
        <x:v>Index</x:v>
      </x:c>
      <x:c r="F7" s="20" t="str"/>
      <x:c r="G7" s="20" t="str"/>
      <x:c r="H7" s="20" t="str"/>
    </x:row>
    <x:row r="8">
      <x:c r="A8" s="19" t="str">
        <x:v>SIL</x:v>
      </x:c>
      <x:c r="B8" s="20" t="str"/>
      <x:c r="C8" s="20" t="str"/>
      <x:c r="D8" s="20" t="str"/>
      <x:c r="E8" s="19" t="str">
        <x:v>Checkliste</x:v>
      </x:c>
      <x:c r="F8" s="20" t="str">
        <x:v>IEC 61508-2: Kapitel 7.6 Betriebs- und Instandhaltungsverfahren für das E/E/PE-System</x:v>
      </x:c>
      <x:c r="G8" s="20" t="str"/>
      <x:c r="H8" s="20" t="str"/>
    </x:row>
    <x:row r="9">
      <x:c r="A9" s="19" t="str">
        <x:v>Ort</x:v>
      </x:c>
      <x:c r="B9" s="20" t="str"/>
      <x:c r="C9" s="20" t="str"/>
      <x:c r="D9" s="20" t="str"/>
      <x:c r="E9" s="19" t="str">
        <x:v>Datum / Zeitraum</x:v>
      </x:c>
      <x:c r="F9" s="20" t="str"/>
      <x:c r="G9" s="20" t="str"/>
      <x:c r="H9" s="20" t="str"/>
    </x:row>
    <x:row r="10">
      <x:c r="A10" s="19" t="str">
        <x:v>Reviewleitung</x:v>
      </x:c>
      <x:c r="B10" s="20" t="str"/>
      <x:c r="C10" s="20" t="str"/>
      <x:c r="D10" s="20" t="str"/>
      <x:c r="E10" s="19" t="str">
        <x:v>Protokollführung</x:v>
      </x:c>
      <x:c r="F10" s="20" t="str"/>
      <x:c r="G10" s="20" t="str"/>
      <x:c r="H10" s="20" t="str"/>
    </x:row>
    <x:row r="12">
      <x:c r="A12" s="12" t="str">
        <x:v>Teilnehmer</x:v>
      </x:c>
      <x:c r="B12" s="12"/>
      <x:c r="C12" s="12"/>
      <x:c r="D12" s="12"/>
      <x:c r="E12" s="12"/>
      <x:c r="F12" s="12"/>
      <x:c r="G12" s="12"/>
      <x:c r="H12" s="12"/>
    </x:row>
    <x:row r="13">
      <x:c r="A13" s="22" t="str">
        <x:v>Teilnehmer 1</x:v>
      </x:c>
      <x:c r="B13" s="23"/>
      <x:c r="C13" s="23"/>
      <x:c r="D13" s="23"/>
      <x:c r="E13" s="23"/>
      <x:c r="F13" s="23"/>
      <x:c r="G13" s="23"/>
      <x:c r="H13" s="23"/>
    </x:row>
    <x:row r="14">
      <x:c r="A14" s="25" t="str">
        <x:v>Teilnehmer 2</x:v>
      </x:c>
      <x:c r="B14" s="23"/>
      <x:c r="C14" s="23"/>
      <x:c r="D14" s="23"/>
      <x:c r="E14" s="23"/>
      <x:c r="F14" s="23"/>
      <x:c r="G14" s="23"/>
      <x:c r="H14" s="23"/>
    </x:row>
    <x:row r="15">
      <x:c r="A15" s="22" t="str">
        <x:v>Teilnehmer 3</x:v>
      </x:c>
      <x:c r="B15" s="23"/>
      <x:c r="C15" s="23"/>
      <x:c r="D15" s="23"/>
      <x:c r="E15" s="23"/>
      <x:c r="F15" s="23"/>
      <x:c r="G15" s="23"/>
      <x:c r="H15" s="23"/>
    </x:row>
    <x:row r="16">
      <x:c r="A16" s="25" t="str">
        <x:v>Teilnehmer 4</x:v>
      </x:c>
      <x:c r="B16" s="23"/>
      <x:c r="C16" s="23"/>
      <x:c r="D16" s="23"/>
      <x:c r="E16" s="23"/>
      <x:c r="F16" s="23"/>
      <x:c r="G16" s="23"/>
      <x:c r="H16" s="23"/>
    </x:row>
    <x:row r="18">
      <x:c r="A18" s="12" t="str">
        <x:v>Fortschritt und Review-Ergebnis</x:v>
      </x:c>
      <x:c r="B18" s="12"/>
      <x:c r="C18" s="12"/>
      <x:c r="D18" s="12"/>
      <x:c r="E18" s="12"/>
      <x:c r="F18" s="12"/>
      <x:c r="G18" s="12"/>
      <x:c r="H18" s="12"/>
    </x:row>
    <x:row r="19">
      <x:c r="A19" s="29" t="str">
        <x:v>Prüfpunkte</x:v>
      </x:c>
      <x:c r="B19" s="29" t="str"/>
      <x:c r="C19" s="29" t="str">
        <x:v>OK</x:v>
      </x:c>
      <x:c r="D19" s="29" t="str"/>
      <x:c r="E19" s="29" t="str">
        <x:v>Nicht OK</x:v>
      </x:c>
      <x:c r="F19" s="29" t="str"/>
      <x:c r="G19" s="29" t="str">
        <x:v>Nicht geprüft</x:v>
      </x:c>
      <x:c r="H19" s="29" t="str">
        <x:v>Abschluss</x:v>
      </x:c>
    </x:row>
    <x:row r="20">
      <x:c r="A20" s="32" t="n">
        <x:f>COUNTA('Review 7.6'!A8:A13)</x:f>
        <x:v>6</x:v>
      </x:c>
      <x:c r="B20" s="32"/>
      <x:c r="C20" s="32" t="n">
        <x:f>COUNTIF('Review 7.6'!G8:G13,"OK")</x:f>
        <x:v>0</x:v>
      </x:c>
      <x:c r="D20" s="32"/>
      <x:c r="E20" s="32" t="n">
        <x:f>COUNTIF('Review 7.6'!G8:G13,"Nicht OK")</x:f>
        <x:v>0</x:v>
      </x:c>
      <x:c r="F20" s="32"/>
      <x:c r="G20" s="32" t="n">
        <x:f>COUNTIF('Review 7.6'!G8:G13,"Nicht geprüft")</x:f>
        <x:v>6</x:v>
      </x:c>
      <x:c r="H20" s="33" t="n">
        <x:f>IF(A20=0,0,(C20+E20)/A20)</x:f>
        <x:v>0</x:v>
      </x:c>
    </x:row>
    <x:row r="22">
      <x:c r="A22" s="30" t="str">
        <x:v>Gesamtergebnis</x:v>
      </x:c>
      <x:c r="B22" s="35"/>
      <x:c r="C22" s="35"/>
      <x:c r="D22" s="35"/>
      <x:c r="E22" s="35"/>
      <x:c r="F22" s="35"/>
      <x:c r="G22" s="35"/>
      <x:c r="H22" s="35"/>
    </x:row>
    <x:row r="23">
      <x:c r="A23" s="37" t="str">
        <x:v>Ergebnis / Begründung</x:v>
      </x:c>
      <x:c r="B23" s="39"/>
      <x:c r="C23" s="39"/>
      <x:c r="D23" s="39"/>
      <x:c r="E23" s="39"/>
      <x:c r="F23" s="39"/>
      <x:c r="G23" s="39"/>
      <x:c r="H23" s="39"/>
    </x:row>
    <x:row r="24">
      <x:c r="A24" s="37"/>
      <x:c r="B24" s="39"/>
      <x:c r="C24" s="39"/>
      <x:c r="D24" s="39"/>
      <x:c r="E24" s="39"/>
      <x:c r="F24" s="39"/>
      <x:c r="G24" s="39"/>
      <x:c r="H24" s="39"/>
    </x:row>
    <x:row r="25">
      <x:c r="A25" s="37"/>
      <x:c r="B25" s="39"/>
      <x:c r="C25" s="39"/>
      <x:c r="D25" s="39"/>
      <x:c r="E25" s="39"/>
      <x:c r="F25" s="39"/>
      <x:c r="G25" s="39"/>
      <x:c r="H25" s="39"/>
    </x:row>
    <x:row r="27">
      <x:c r="A27" s="37" t="str">
        <x:v>Zusammenfassung</x:v>
      </x:c>
      <x:c r="B27" s="39" t="str">
        <x:v>Das Dokument wird auf vollständige, nachvollziehbare und technisch belastbare Umsetzung von IEC 61508-2, Kapitel 7.6, geprüft. Normative Anforderungen und informative Verfahren aus IEC 61508-7 werden getrennt bewertet.</x:v>
      </x:c>
      <x:c r="C27" s="39"/>
      <x:c r="D27" s="39"/>
      <x:c r="E27" s="39"/>
      <x:c r="F27" s="39"/>
      <x:c r="G27" s="39"/>
      <x:c r="H27" s="39"/>
    </x:row>
    <x:row r="28">
      <x:c r="A28" s="37"/>
      <x:c r="B28" s="39"/>
      <x:c r="C28" s="39"/>
      <x:c r="D28" s="39"/>
      <x:c r="E28" s="39"/>
      <x:c r="F28" s="39"/>
      <x:c r="G28" s="39"/>
      <x:c r="H28" s="39"/>
    </x:row>
    <x:row r="29">
      <x:c r="A29" s="37"/>
      <x:c r="B29" s="39"/>
      <x:c r="C29" s="39"/>
      <x:c r="D29" s="39"/>
      <x:c r="E29" s="39"/>
      <x:c r="F29" s="39"/>
      <x:c r="G29" s="39"/>
      <x:c r="H29" s="39"/>
    </x:row>
    <x:row r="30">
      <x:c r="A30" s="37"/>
      <x:c r="B30" s="39"/>
      <x:c r="C30" s="39"/>
      <x:c r="D30" s="39"/>
      <x:c r="E30" s="39"/>
      <x:c r="F30" s="39"/>
      <x:c r="G30" s="39"/>
      <x:c r="H30" s="39"/>
    </x:row>
  </x:sheetData>
  <x:mergeCells>
    <x:mergeCell ref="A1:H2"/>
    <x:mergeCell ref="A3:H3"/>
    <x:mergeCell ref="A5:H5"/>
    <x:mergeCell ref="A12:H12"/>
    <x:mergeCell ref="A18:H18"/>
    <x:mergeCell ref="B22:H22"/>
    <x:mergeCell ref="A23:A25"/>
    <x:mergeCell ref="B23:H25"/>
    <x:mergeCell ref="A27:A30"/>
    <x:mergeCell ref="B27:H30"/>
  </x:mergeCells>
  <x:dataValidations count="2">
    <x:dataValidation type="list" sqref="B8:D8">
      <x:formula1>"SIL 1,SIL 2,SIL 3"</x:formula1>
    </x:dataValidation>
    <x:dataValidation type="list" sqref="B22">
      <x:formula1>"Freigegeben,Freigegeben mit Auflagen,Nicht freigegeben"</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6" hidden="0" customWidth="1"/>
    <x:col min="3" max="3" width="66" hidden="0" customWidth="1"/>
    <x:col min="4" max="4" width="30" hidden="0" customWidth="1"/>
    <x:col min="5" max="5" width="34" hidden="0" customWidth="1"/>
    <x:col min="6" max="6" width="22" hidden="0" customWidth="1"/>
    <x:col min="7" max="7" width="17" hidden="0" customWidth="1"/>
  </x:cols>
  <x:sheetData>
    <x:row r="1" ht="28" customHeight="1">
      <x:c r="A1" s="4" t="str">
        <x:v>Checkliste – IEC 61508-2, Kapitel 7.6</x:v>
      </x:c>
      <x:c r="B1" s="4"/>
      <x:c r="C1" s="4"/>
      <x:c r="D1" s="4"/>
      <x:c r="E1" s="4"/>
      <x:c r="F1" s="4"/>
      <x:c r="G1" s="4"/>
    </x:row>
    <x:row r="2" ht="28" customHeight="1">
      <x:c r="A2" s="4"/>
      <x:c r="B2" s="4"/>
      <x:c r="C2" s="4"/>
      <x:c r="D2" s="4"/>
      <x:c r="E2" s="4"/>
      <x:c r="F2" s="4"/>
      <x:c r="G2" s="4"/>
    </x:row>
    <x:row r="3" ht="24" customHeight="1">
      <x:c r="A3" s="8" t="str">
        <x:v>Prüfergebnis: konkrete technische Bewertung. Kommentar / Nachweis: Begründung, Fundstelle, Mess- oder Prüfnachweis beziehungsweise offener Punkt.</x:v>
      </x:c>
      <x:c r="B3" s="8"/>
      <x:c r="C3" s="8"/>
      <x:c r="D3" s="8"/>
      <x:c r="E3" s="8"/>
      <x:c r="F3" s="8"/>
      <x:c r="G3" s="8"/>
    </x:row>
    <x:row r="5">
      <x:c r="A5" s="42" t="str">
        <x:v>Kapitel 7.6</x:v>
      </x:c>
      <x:c r="B5" s="42" t="str">
        <x:v>Betriebs- und Instandhaltungsverfahren für das E/E/PE-System</x:v>
      </x:c>
      <x:c r="C5" s="42" t="str">
        <x:v>6 Prüfpunkte</x:v>
      </x:c>
      <x:c r="D5" s="42"/>
      <x:c r="E5" s="42"/>
      <x:c r="F5" s="42" t="str">
        <x:v>Dokumentenbezug</x:v>
      </x:c>
      <x:c r="G5" s="42" t="str">
        <x:v>Status / OK</x:v>
      </x:c>
    </x:row>
    <x:row r="7" ht="32" customHeight="1">
      <x:c r="A7" s="47" t="str">
        <x:v>Nr.</x:v>
      </x:c>
      <x:c r="B7" s="47" t="str">
        <x:v>Normkapitel</x:v>
      </x:c>
      <x:c r="C7" s="47" t="str">
        <x:v>Prüffrage / Prüfkriterium</x:v>
      </x:c>
      <x:c r="D7" s="47" t="str">
        <x:v>Prüfergebnis</x:v>
      </x:c>
      <x:c r="E7" s="47" t="str">
        <x:v>Kommentar / Nachweis</x:v>
      </x:c>
      <x:c r="F7" s="47" t="str">
        <x:v>E/A-Dokumente (IDs)</x:v>
      </x:c>
      <x:c r="G7" s="47" t="str">
        <x:v>Status / OK</x:v>
      </x:c>
    </x:row>
    <x:row r="8" ht="88" customHeight="1">
      <x:c r="A8" s="17" t="str">
        <x:v>Z1</x:v>
      </x:c>
      <x:c r="B8" s="17" t="str">
        <x:v>7.6.1</x:v>
      </x:c>
      <x:c r="C8" s="17" t="str">
        <x:v>Sind Verfahren entwickelt, mit denen die erforderliche funktionale Sicherheit während Betrieb und Instandhaltung aufrechterhalten wird?</x:v>
      </x:c>
      <x:c r="D8" s="20" t="str"/>
      <x:c r="E8" s="20" t="str"/>
      <x:c r="F8" s="18" t="str">
        <x:v>D01, D03</x:v>
      </x:c>
      <x:c r="G8" s="48" t="str">
        <x:v>Nicht geprüft</x:v>
      </x:c>
    </x:row>
    <x:row r="9" ht="88" customHeight="1">
      <x:c r="A9" s="17" t="str">
        <x:v>1</x:v>
      </x:c>
      <x:c r="B9" s="17" t="str">
        <x:v>7.6.2.1</x:v>
      </x:c>
      <x:c r="C9" s="17" t="str">
        <x:v>Legen die Betriebs- und Instandhaltungsverfahren vollständig die regelmäßigen Handlungen, Betriebsgrenzen, Aufzeichnungen, Fehlerbehandlung, Revalidierung, Ausfallanalyse sowie benötigten Werkzeuge fest?</x:v>
      </x:c>
      <x:c r="D9" s="20" t="str"/>
      <x:c r="E9" s="20" t="str"/>
      <x:c r="F9" s="18" t="str">
        <x:v>D02, D03, D05</x:v>
      </x:c>
      <x:c r="G9" s="48" t="str">
        <x:v>Nicht geprüft</x:v>
      </x:c>
    </x:row>
    <x:row r="10" ht="88" customHeight="1">
      <x:c r="A10" s="17" t="str">
        <x:v>2</x:v>
      </x:c>
      <x:c r="B10" s="17" t="str">
        <x:v>7.6.2.2</x:v>
      </x:c>
      <x:c r="C10" s="17" t="str">
        <x:v>Werden die Verfahren anhand von Audits, Prüfungen und Betriebserfahrungen fortlaufend kontrolliert aktualisiert?</x:v>
      </x:c>
      <x:c r="D10" s="20" t="str"/>
      <x:c r="E10" s="20" t="str"/>
      <x:c r="F10" s="18" t="str">
        <x:v>D04, D08, D10</x:v>
      </x:c>
      <x:c r="G10" s="48" t="str">
        <x:v>Nicht geprüft</x:v>
      </x:c>
    </x:row>
    <x:row r="11" ht="88" customHeight="1">
      <x:c r="A11" s="17" t="str">
        <x:v>3</x:v>
      </x:c>
      <x:c r="B11" s="17" t="str">
        <x:v>7.6.2.3</x:v>
      </x:c>
      <x:c r="C11" s="17" t="str">
        <x:v>Sind regelmäßige Instandhaltung und Wiederholungsprüfungen durch eine systematische Methode so festgelegt, dass unerkannte sicherheitsmindernde Ausfälle aller Elemente erkannt werden?</x:v>
      </x:c>
      <x:c r="D11" s="20" t="str"/>
      <x:c r="E11" s="20" t="str"/>
      <x:c r="F11" s="18" t="str">
        <x:v>D05, D06, D07</x:v>
      </x:c>
      <x:c r="G11" s="48" t="str">
        <x:v>Nicht geprüft</x:v>
      </x:c>
    </x:row>
    <x:row r="12" ht="88" customHeight="1">
      <x:c r="A12" s="17" t="str">
        <x:v>4</x:v>
      </x:c>
      <x:c r="B12" s="17" t="str">
        <x:v>7.6.2.4</x:v>
      </x:c>
      <x:c r="C12" s="17" t="str">
        <x:v>Wurde der Einfluss der Betriebs- und Instandhaltungsverfahren auf die EUC bewertet und dokumentiert?</x:v>
      </x:c>
      <x:c r="D12" s="20" t="str"/>
      <x:c r="E12" s="20" t="str"/>
      <x:c r="F12" s="18" t="str">
        <x:v>D04, D07</x:v>
      </x:c>
      <x:c r="G12" s="48" t="str">
        <x:v>Nicht geprüft</x:v>
      </x:c>
    </x:row>
    <x:row r="13" ht="88" customHeight="1">
      <x:c r="A13" s="17" t="str">
        <x:v>5</x:v>
      </x:c>
      <x:c r="B13" s="17" t="str">
        <x:v>7.6.2.5</x:v>
      </x:c>
      <x:c r="C13" s="17" t="str">
        <x:v>Wird eine angemessene Gruppe von Verfahren und Maßnahmen gemäß Tabelle B.4 zur Vermeidung von Fehlern und Ausfällen eingesetzt?</x:v>
      </x:c>
      <x:c r="D13" s="20" t="str"/>
      <x:c r="E13" s="20" t="str"/>
      <x:c r="F13" s="18" t="str">
        <x:v>D03, D04</x:v>
      </x:c>
      <x:c r="G13" s="48" t="str">
        <x:v>Nicht geprüft</x:v>
      </x:c>
    </x:row>
  </x:sheetData>
  <x:mergeCells>
    <x:mergeCell ref="A1:G2"/>
    <x:mergeCell ref="A3:G3"/>
  </x:mergeCells>
  <x:dataValidations count="1">
    <x:dataValidation type="list" sqref="G8:G13">
      <x:formula1>"Nicht geprüft,OK,Nicht OK,N. a."</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13" hidden="0" customWidth="1"/>
    <x:col min="3" max="3" width="34" hidden="0" customWidth="1"/>
    <x:col min="4" max="4" width="49" hidden="0" customWidth="1"/>
    <x:col min="5" max="5" width="20" hidden="0" customWidth="1"/>
    <x:col min="6" max="6" width="36" hidden="0" customWidth="1"/>
    <x:col min="7" max="7" width="24" hidden="0" customWidth="1"/>
    <x:col min="8" max="8" width="15" hidden="0" customWidth="1"/>
    <x:col min="9" max="9" width="20" hidden="0" customWidth="1"/>
    <x:col min="10" max="10" width="22" hidden="0" customWidth="1"/>
    <x:col min="11" max="11" width="34" hidden="0" customWidth="1"/>
  </x:cols>
  <x:sheetData>
    <x:row r="1" ht="28" customHeight="1">
      <x:c r="A1" s="4" t="str">
        <x:v>Eingabe- und Ausgabedokumente – Kapitel 7.6</x:v>
      </x:c>
      <x:c r="B1" s="4"/>
      <x:c r="C1" s="4"/>
      <x:c r="D1" s="4"/>
      <x:c r="E1" s="4"/>
      <x:c r="F1" s="4"/>
      <x:c r="G1" s="4"/>
      <x:c r="H1" s="4"/>
      <x:c r="I1" s="4"/>
      <x:c r="J1" s="4"/>
      <x:c r="K1" s="4"/>
    </x:row>
    <x:row r="2" ht="28" customHeight="1">
      <x:c r="A2" s="4"/>
      <x:c r="B2" s="4"/>
      <x:c r="C2" s="4"/>
      <x:c r="D2" s="4"/>
      <x:c r="E2" s="4"/>
      <x:c r="F2" s="4"/>
      <x:c r="G2" s="4"/>
      <x:c r="H2" s="4"/>
      <x:c r="I2" s="4"/>
      <x:c r="J2" s="4"/>
      <x:c r="K2" s="4"/>
    </x:row>
    <x:row r="3" ht="24" customHeight="1">
      <x:c r="A3" s="8" t="str">
        <x:v>Dokumentenregister zur rückverfolgbaren Zuordnung der Reviewnachweise</x:v>
      </x:c>
      <x:c r="B3" s="8"/>
      <x:c r="C3" s="8"/>
      <x:c r="D3" s="8"/>
      <x:c r="E3" s="8"/>
      <x:c r="F3" s="8"/>
      <x:c r="G3" s="8"/>
      <x:c r="H3" s="8"/>
      <x:c r="I3" s="8"/>
      <x:c r="J3" s="8"/>
      <x:c r="K3" s="8"/>
    </x:row>
    <x:row r="5">
      <x:c r="A5" s="49" t="str">
        <x:v>Dokumente</x:v>
      </x:c>
      <x:c r="B5" s="49" t="n">
        <x:f>COUNTA(A8:A19)</x:f>
        <x:v>12</x:v>
      </x:c>
      <x:c r="C5" s="49" t="str">
        <x:v>Eingaben</x:v>
      </x:c>
      <x:c r="D5" s="49" t="n">
        <x:f>COUNTIF(B8:B19,"Eingabe")</x:f>
        <x:v>2</x:v>
      </x:c>
      <x:c r="E5" s="49" t="str">
        <x:v>Ausgaben</x:v>
      </x:c>
      <x:c r="F5" s="49" t="n">
        <x:f>COUNTIF(B8:B19,"Ausgabe")</x:f>
        <x:v>10</x:v>
      </x:c>
      <x:c r="G5" s="49" t="str">
        <x:v>Geprüft / freigegeben</x:v>
      </x:c>
      <x:c r="H5" s="49" t="n">
        <x:f>COUNTIF(I8:I19,"Geprüft / freigegeben")</x:f>
        <x:v>0</x:v>
      </x:c>
      <x:c r="I5" s="49" t="str">
        <x:v>Nicht vorgelegt</x:v>
      </x:c>
      <x:c r="J5" s="49" t="n">
        <x:f>COUNTIF(I8:I19,"Nicht vorgelegt")</x:f>
        <x:v>12</x:v>
      </x:c>
      <x:c r="K5" s="49" t="str"/>
    </x:row>
    <x:row r="7">
      <x:c r="A7" s="47" t="str">
        <x:v>ID</x:v>
      </x:c>
      <x:c r="B7" s="47" t="str">
        <x:v>Art</x:v>
      </x:c>
      <x:c r="C7" s="47" t="str">
        <x:v>Normbegriff / Dokument</x:v>
      </x:c>
      <x:c r="D7" s="47" t="str">
        <x:v>Funktion / erwarteter Inhalt</x:v>
      </x:c>
      <x:c r="E7" s="47" t="str">
        <x:v>Bezug Prüfpunkt</x:v>
      </x:c>
      <x:c r="F7" s="47" t="str">
        <x:v>Normreferenz</x:v>
      </x:c>
      <x:c r="G7" s="47" t="str">
        <x:v>Dokumentkennung / Referenz</x:v>
      </x:c>
      <x:c r="H7" s="47" t="str">
        <x:v>Version / Index</x:v>
      </x:c>
      <x:c r="I7" s="47" t="str">
        <x:v>Status</x:v>
      </x:c>
      <x:c r="J7" s="47" t="str">
        <x:v>Verantwortlich</x:v>
      </x:c>
      <x:c r="K7" s="47" t="str">
        <x:v>Ablageort / Bemerkung</x:v>
      </x:c>
    </x:row>
    <x:row r="8" ht="64" customHeight="1">
      <x:c r="A8" s="17" t="str">
        <x:v>D01</x:v>
      </x:c>
      <x:c r="B8" s="17" t="str">
        <x:v>Eingabe</x:v>
      </x:c>
      <x:c r="C8" s="17" t="str">
        <x:v>Sicherheitsanforderungen für Betrieb und Instandhaltung</x:v>
      </x:c>
      <x:c r="D8" s="17" t="str">
        <x:v>Enthält den für Betriebs- und Instandhaltungsverfahren für das E/E/PE-System erforderlichen, freigegebenen und rückverfolgbaren Nachweis.</x:v>
      </x:c>
      <x:c r="E8" s="17" t="str">
        <x:v>siehe Reviewblatt</x:v>
      </x:c>
      <x:c r="F8" s="17" t="str">
        <x:v>IEC 61508-2, 7.6.1</x:v>
      </x:c>
      <x:c r="G8" s="20" t="str"/>
      <x:c r="H8" s="20" t="str"/>
      <x:c r="I8" s="20" t="str">
        <x:v>Nicht vorgelegt</x:v>
      </x:c>
      <x:c r="J8" s="20" t="str"/>
      <x:c r="K8" s="20" t="str"/>
    </x:row>
    <x:row r="9" ht="64" customHeight="1">
      <x:c r="A9" s="17" t="str">
        <x:v>D02</x:v>
      </x:c>
      <x:c r="B9" s="17" t="str">
        <x:v>Eingabe</x:v>
      </x:c>
      <x:c r="C9" s="17" t="str">
        <x:v>Betriebsanweisung</x:v>
      </x:c>
      <x:c r="D9" s="17" t="str">
        <x:v>Enthält den für Betriebs- und Instandhaltungsverfahren für das E/E/PE-System erforderlichen, freigegebenen und rückverfolgbaren Nachweis.</x:v>
      </x:c>
      <x:c r="E9" s="17" t="str">
        <x:v>siehe Reviewblatt</x:v>
      </x:c>
      <x:c r="F9" s="17" t="str">
        <x:v>IEC 61508-2, 7.6.2</x:v>
      </x:c>
      <x:c r="G9" s="20" t="str"/>
      <x:c r="H9" s="20" t="str"/>
      <x:c r="I9" s="20" t="str">
        <x:v>Nicht vorgelegt</x:v>
      </x:c>
      <x:c r="J9" s="20" t="str"/>
      <x:c r="K9" s="20" t="str"/>
    </x:row>
    <x:row r="10" ht="64" customHeight="1">
      <x:c r="A10" s="17" t="str">
        <x:v>D03</x:v>
      </x:c>
      <x:c r="B10" s="17" t="str">
        <x:v>Ausgabe</x:v>
      </x:c>
      <x:c r="C10" s="17" t="str">
        <x:v>Instandhaltungsplan</x:v>
      </x:c>
      <x:c r="D10" s="17" t="str">
        <x:v>Enthält den für Betriebs- und Instandhaltungsverfahren für das E/E/PE-System erforderlichen, freigegebenen und rückverfolgbaren Nachweis.</x:v>
      </x:c>
      <x:c r="E10" s="17" t="str">
        <x:v>siehe Reviewblatt</x:v>
      </x:c>
      <x:c r="F10" s="17" t="str">
        <x:v>IEC 61508-2, 7.6.2</x:v>
      </x:c>
      <x:c r="G10" s="20" t="str"/>
      <x:c r="H10" s="20" t="str"/>
      <x:c r="I10" s="20" t="str">
        <x:v>Nicht vorgelegt</x:v>
      </x:c>
      <x:c r="J10" s="20" t="str"/>
      <x:c r="K10" s="20" t="str"/>
    </x:row>
    <x:row r="11" ht="64" customHeight="1">
      <x:c r="A11" s="17" t="str">
        <x:v>D04</x:v>
      </x:c>
      <x:c r="B11" s="17" t="str">
        <x:v>Ausgabe</x:v>
      </x:c>
      <x:c r="C11" s="17" t="str">
        <x:v>Verfahrens- und Maßnahmenauswahl nach Tabelle B.4</x:v>
      </x:c>
      <x:c r="D11" s="17" t="str">
        <x:v>Enthält den für Betriebs- und Instandhaltungsverfahren für das E/E/PE-System erforderlichen, freigegebenen und rückverfolgbaren Nachweis.</x:v>
      </x:c>
      <x:c r="E11" s="17" t="str">
        <x:v>siehe Reviewblatt</x:v>
      </x:c>
      <x:c r="F11" s="17" t="str">
        <x:v>IEC 61508-2, 7.6.2</x:v>
      </x:c>
      <x:c r="G11" s="20" t="str"/>
      <x:c r="H11" s="20" t="str"/>
      <x:c r="I11" s="20" t="str">
        <x:v>Nicht vorgelegt</x:v>
      </x:c>
      <x:c r="J11" s="20" t="str"/>
      <x:c r="K11" s="20" t="str"/>
    </x:row>
    <x:row r="12" ht="64" customHeight="1">
      <x:c r="A12" s="17" t="str">
        <x:v>D05</x:v>
      </x:c>
      <x:c r="B12" s="17" t="str">
        <x:v>Ausgabe</x:v>
      </x:c>
      <x:c r="C12" s="17" t="str">
        <x:v>Wiederholungsprüfplan</x:v>
      </x:c>
      <x:c r="D12" s="17" t="str">
        <x:v>Enthält den für Betriebs- und Instandhaltungsverfahren für das E/E/PE-System erforderlichen, freigegebenen und rückverfolgbaren Nachweis.</x:v>
      </x:c>
      <x:c r="E12" s="17" t="str">
        <x:v>siehe Reviewblatt</x:v>
      </x:c>
      <x:c r="F12" s="17" t="str">
        <x:v>IEC 61508-2, 7.6.2</x:v>
      </x:c>
      <x:c r="G12" s="20" t="str"/>
      <x:c r="H12" s="20" t="str"/>
      <x:c r="I12" s="20" t="str">
        <x:v>Nicht vorgelegt</x:v>
      </x:c>
      <x:c r="J12" s="20" t="str"/>
      <x:c r="K12" s="20" t="str"/>
    </x:row>
    <x:row r="13" ht="64" customHeight="1">
      <x:c r="A13" s="17" t="str">
        <x:v>D06</x:v>
      </x:c>
      <x:c r="B13" s="17" t="str">
        <x:v>Ausgabe</x:v>
      </x:c>
      <x:c r="C13" s="17" t="str">
        <x:v>Prüf- und Diagnoseverfahren</x:v>
      </x:c>
      <x:c r="D13" s="17" t="str">
        <x:v>Enthält den für Betriebs- und Instandhaltungsverfahren für das E/E/PE-System erforderlichen, freigegebenen und rückverfolgbaren Nachweis.</x:v>
      </x:c>
      <x:c r="E13" s="17" t="str">
        <x:v>siehe Reviewblatt</x:v>
      </x:c>
      <x:c r="F13" s="17" t="str">
        <x:v>IEC 61508-2, 7.6.2</x:v>
      </x:c>
      <x:c r="G13" s="20" t="str"/>
      <x:c r="H13" s="20" t="str"/>
      <x:c r="I13" s="20" t="str">
        <x:v>Nicht vorgelegt</x:v>
      </x:c>
      <x:c r="J13" s="20" t="str"/>
      <x:c r="K13" s="20" t="str"/>
    </x:row>
    <x:row r="14" ht="64" customHeight="1">
      <x:c r="A14" s="17" t="str">
        <x:v>D07</x:v>
      </x:c>
      <x:c r="B14" s="17" t="str">
        <x:v>Ausgabe</x:v>
      </x:c>
      <x:c r="C14" s="17" t="str">
        <x:v>Instandhaltungs- und Revalidierungsnachweise</x:v>
      </x:c>
      <x:c r="D14" s="17" t="str">
        <x:v>Enthält den für Betriebs- und Instandhaltungsverfahren für das E/E/PE-System erforderlichen, freigegebenen und rückverfolgbaren Nachweis.</x:v>
      </x:c>
      <x:c r="E14" s="17" t="str">
        <x:v>siehe Reviewblatt</x:v>
      </x:c>
      <x:c r="F14" s="17" t="str">
        <x:v>IEC 61508-2, 7.6.2</x:v>
      </x:c>
      <x:c r="G14" s="20" t="str"/>
      <x:c r="H14" s="20" t="str"/>
      <x:c r="I14" s="20" t="str">
        <x:v>Nicht vorgelegt</x:v>
      </x:c>
      <x:c r="J14" s="20" t="str"/>
      <x:c r="K14" s="20" t="str"/>
    </x:row>
    <x:row r="15" ht="64" customHeight="1">
      <x:c r="A15" s="17" t="str">
        <x:v>D08</x:v>
      </x:c>
      <x:c r="B15" s="17" t="str">
        <x:v>Ausgabe</x:v>
      </x:c>
      <x:c r="C15" s="17" t="str">
        <x:v>Audit- und Betriebserfahrungsrückmeldungen</x:v>
      </x:c>
      <x:c r="D15" s="17" t="str">
        <x:v>Enthält den für Betriebs- und Instandhaltungsverfahren für das E/E/PE-System erforderlichen, freigegebenen und rückverfolgbaren Nachweis.</x:v>
      </x:c>
      <x:c r="E15" s="17" t="str">
        <x:v>siehe Reviewblatt</x:v>
      </x:c>
      <x:c r="F15" s="17" t="str">
        <x:v>IEC 61508-2, 7.6.2</x:v>
      </x:c>
      <x:c r="G15" s="20" t="str"/>
      <x:c r="H15" s="20" t="str"/>
      <x:c r="I15" s="20" t="str">
        <x:v>Nicht vorgelegt</x:v>
      </x:c>
      <x:c r="J15" s="20" t="str"/>
      <x:c r="K15" s="20" t="str"/>
    </x:row>
    <x:row r="16" ht="64" customHeight="1">
      <x:c r="A16" s="17" t="str">
        <x:v>D09</x:v>
      </x:c>
      <x:c r="B16" s="17" t="str">
        <x:v>Ausgabe</x:v>
      </x:c>
      <x:c r="C16" s="17" t="str">
        <x:v>Werkzeug- und Prüfmittelregister</x:v>
      </x:c>
      <x:c r="D16" s="17" t="str">
        <x:v>Enthält den für Betriebs- und Instandhaltungsverfahren für das E/E/PE-System erforderlichen, freigegebenen und rückverfolgbaren Nachweis.</x:v>
      </x:c>
      <x:c r="E16" s="17" t="str">
        <x:v>siehe Reviewblatt</x:v>
      </x:c>
      <x:c r="F16" s="17" t="str">
        <x:v>IEC 61508-2, 7.6.2</x:v>
      </x:c>
      <x:c r="G16" s="20" t="str"/>
      <x:c r="H16" s="20" t="str"/>
      <x:c r="I16" s="20" t="str">
        <x:v>Nicht vorgelegt</x:v>
      </x:c>
      <x:c r="J16" s="20" t="str"/>
      <x:c r="K16" s="20" t="str"/>
    </x:row>
    <x:row r="17" ht="64" customHeight="1">
      <x:c r="A17" s="17" t="str">
        <x:v>D10</x:v>
      </x:c>
      <x:c r="B17" s="17" t="str">
        <x:v>Ausgabe</x:v>
      </x:c>
      <x:c r="C17" s="17" t="str">
        <x:v>Konfigurations- und Änderungsnachweis</x:v>
      </x:c>
      <x:c r="D17" s="17" t="str">
        <x:v>Enthält den für Betriebs- und Instandhaltungsverfahren für das E/E/PE-System erforderlichen, freigegebenen und rückverfolgbaren Nachweis.</x:v>
      </x:c>
      <x:c r="E17" s="17" t="str">
        <x:v>siehe Reviewblatt</x:v>
      </x:c>
      <x:c r="F17" s="17" t="str">
        <x:v>IEC 61508-2, 7.6.2</x:v>
      </x:c>
      <x:c r="G17" s="20" t="str"/>
      <x:c r="H17" s="20" t="str"/>
      <x:c r="I17" s="20" t="str">
        <x:v>Nicht vorgelegt</x:v>
      </x:c>
      <x:c r="J17" s="20" t="str"/>
      <x:c r="K17" s="20" t="str"/>
    </x:row>
    <x:row r="18" ht="64" customHeight="1">
      <x:c r="A18" s="17" t="str">
        <x:v>D11</x:v>
      </x:c>
      <x:c r="B18" s="17" t="str">
        <x:v>Ausgabe</x:v>
      </x:c>
      <x:c r="C18" s="17" t="str">
        <x:v>Personalqualifikationsnachweise</x:v>
      </x:c>
      <x:c r="D18" s="17" t="str">
        <x:v>Enthält den für Betriebs- und Instandhaltungsverfahren für das E/E/PE-System erforderlichen, freigegebenen und rückverfolgbaren Nachweis.</x:v>
      </x:c>
      <x:c r="E18" s="17" t="str">
        <x:v>siehe Reviewblatt</x:v>
      </x:c>
      <x:c r="F18" s="17" t="str">
        <x:v>IEC 61508-2, 7.6.2</x:v>
      </x:c>
      <x:c r="G18" s="20" t="str"/>
      <x:c r="H18" s="20" t="str"/>
      <x:c r="I18" s="20" t="str">
        <x:v>Nicht vorgelegt</x:v>
      </x:c>
      <x:c r="J18" s="20" t="str"/>
      <x:c r="K18" s="20" t="str"/>
    </x:row>
    <x:row r="19" ht="64" customHeight="1">
      <x:c r="A19" s="17" t="str">
        <x:v>D12</x:v>
      </x:c>
      <x:c r="B19" s="17" t="str">
        <x:v>Ausgabe</x:v>
      </x:c>
      <x:c r="C19" s="17" t="str">
        <x:v>EUC-Einflussanalyse</x:v>
      </x:c>
      <x:c r="D19" s="17" t="str">
        <x:v>Enthält den für Betriebs- und Instandhaltungsverfahren für das E/E/PE-System erforderlichen, freigegebenen und rückverfolgbaren Nachweis.</x:v>
      </x:c>
      <x:c r="E19" s="17" t="str">
        <x:v>siehe Reviewblatt</x:v>
      </x:c>
      <x:c r="F19" s="17" t="str">
        <x:v>IEC 61508-2, 7.6.2</x:v>
      </x:c>
      <x:c r="G19" s="20" t="str"/>
      <x:c r="H19" s="20" t="str"/>
      <x:c r="I19" s="20" t="str">
        <x:v>Nicht vorgelegt</x:v>
      </x:c>
      <x:c r="J19" s="20" t="str"/>
      <x:c r="K19" s="20" t="str"/>
    </x:row>
  </x:sheetData>
  <x:mergeCells>
    <x:mergeCell ref="A1:K2"/>
    <x:mergeCell ref="A3:K3"/>
  </x:mergeCells>
  <x:dataValidations count="1">
    <x:dataValidation type="list" sqref="I8:I19">
      <x:formula1>"Nicht vorgelegt,In Prüfung,Geprüft / freigegeben,Nicht anwendbar"</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3" hidden="0" customWidth="1"/>
    <x:col min="3" max="3" width="58" hidden="0" customWidth="1"/>
    <x:col min="4" max="4" width="20" hidden="0" customWidth="1"/>
    <x:col min="5" max="5" width="24" hidden="0" customWidth="1"/>
    <x:col min="6" max="6" width="16" hidden="0" customWidth="1"/>
    <x:col min="7" max="7" width="18" hidden="0" customWidth="1"/>
  </x:cols>
  <x:sheetData>
    <x:row r="1" ht="28" customHeight="1">
      <x:c r="A1" s="4" t="str">
        <x:v>Review-Ergebnisse und durchzuführende Maßnahmen</x:v>
      </x:c>
      <x:c r="B1" s="4"/>
      <x:c r="C1" s="4"/>
      <x:c r="D1" s="4"/>
      <x:c r="E1" s="4"/>
      <x:c r="F1" s="4"/>
      <x:c r="G1" s="4"/>
    </x:row>
    <x:row r="2" ht="28" customHeight="1">
      <x:c r="A2" s="4"/>
      <x:c r="B2" s="4"/>
      <x:c r="C2" s="4"/>
      <x:c r="D2" s="4"/>
      <x:c r="E2" s="4"/>
      <x:c r="F2" s="4"/>
      <x:c r="G2" s="4"/>
    </x:row>
    <x:row r="3" ht="24" customHeight="1">
      <x:c r="A3" s="8" t="str">
        <x:v>A = Aufgabe · I = Information · B = Beschluss. Direkter Rückverfolgungsbezug zu Review 7.6.</x:v>
      </x:c>
      <x:c r="B3" s="8"/>
      <x:c r="C3" s="8"/>
      <x:c r="D3" s="8"/>
      <x:c r="E3" s="8"/>
      <x:c r="F3" s="8"/>
      <x:c r="G3" s="8"/>
    </x:row>
    <x:row r="5">
      <x:c r="A5" s="47" t="str">
        <x:v>ID</x:v>
      </x:c>
      <x:c r="B5" s="47" t="str">
        <x:v>Typ</x:v>
      </x:c>
      <x:c r="C5" s="47" t="str">
        <x:v>Review-Ergebnis / Maßnahme</x:v>
      </x:c>
      <x:c r="D5" s="47" t="str">
        <x:v>Bezug Prüfpunkt</x:v>
      </x:c>
      <x:c r="E5" s="47" t="str">
        <x:v>Verantwortlich</x:v>
      </x:c>
      <x:c r="F5" s="47" t="str">
        <x:v>Fällig am</x:v>
      </x:c>
      <x:c r="G5" s="47" t="str">
        <x:v>Status</x:v>
      </x:c>
    </x:row>
    <x:row r="6" ht="42" customHeight="1">
      <x:c r="A6" s="17" t="str">
        <x:v>M-01</x:v>
      </x:c>
      <x:c r="B6" s="20" t="str"/>
      <x:c r="C6" s="20" t="str"/>
      <x:c r="D6" s="20" t="str"/>
      <x:c r="E6" s="20" t="str"/>
      <x:c r="F6" s="20" t="str"/>
      <x:c r="G6" s="17" t="str">
        <x:v>Offen</x:v>
      </x:c>
    </x:row>
    <x:row r="7" ht="42" customHeight="1">
      <x:c r="A7" s="17" t="str">
        <x:v>M-02</x:v>
      </x:c>
      <x:c r="B7" s="20" t="str"/>
      <x:c r="C7" s="20" t="str"/>
      <x:c r="D7" s="20" t="str"/>
      <x:c r="E7" s="20" t="str"/>
      <x:c r="F7" s="20" t="str"/>
      <x:c r="G7" s="17" t="str">
        <x:v>Offen</x:v>
      </x:c>
    </x:row>
    <x:row r="8" ht="42" customHeight="1">
      <x:c r="A8" s="17" t="str">
        <x:v>M-03</x:v>
      </x:c>
      <x:c r="B8" s="20" t="str"/>
      <x:c r="C8" s="20" t="str"/>
      <x:c r="D8" s="20" t="str"/>
      <x:c r="E8" s="20" t="str"/>
      <x:c r="F8" s="20" t="str"/>
      <x:c r="G8" s="17" t="str">
        <x:v>Offen</x:v>
      </x:c>
    </x:row>
    <x:row r="9" ht="42" customHeight="1">
      <x:c r="A9" s="17" t="str">
        <x:v>M-04</x:v>
      </x:c>
      <x:c r="B9" s="20" t="str"/>
      <x:c r="C9" s="20" t="str"/>
      <x:c r="D9" s="20" t="str"/>
      <x:c r="E9" s="20" t="str"/>
      <x:c r="F9" s="20" t="str"/>
      <x:c r="G9" s="17" t="str">
        <x:v>Offen</x:v>
      </x:c>
    </x:row>
    <x:row r="10" ht="42" customHeight="1">
      <x:c r="A10" s="17" t="str">
        <x:v>M-05</x:v>
      </x:c>
      <x:c r="B10" s="20" t="str"/>
      <x:c r="C10" s="20" t="str"/>
      <x:c r="D10" s="20" t="str"/>
      <x:c r="E10" s="20" t="str"/>
      <x:c r="F10" s="20" t="str"/>
      <x:c r="G10" s="17" t="str">
        <x:v>Offen</x:v>
      </x:c>
    </x:row>
    <x:row r="11" ht="42" customHeight="1">
      <x:c r="A11" s="17" t="str">
        <x:v>M-06</x:v>
      </x:c>
      <x:c r="B11" s="20" t="str"/>
      <x:c r="C11" s="20" t="str"/>
      <x:c r="D11" s="20" t="str"/>
      <x:c r="E11" s="20" t="str"/>
      <x:c r="F11" s="20" t="str"/>
      <x:c r="G11" s="17" t="str">
        <x:v>Offen</x:v>
      </x:c>
    </x:row>
    <x:row r="12" ht="42" customHeight="1">
      <x:c r="A12" s="17" t="str">
        <x:v>M-07</x:v>
      </x:c>
      <x:c r="B12" s="20" t="str"/>
      <x:c r="C12" s="20" t="str"/>
      <x:c r="D12" s="20" t="str"/>
      <x:c r="E12" s="20" t="str"/>
      <x:c r="F12" s="20" t="str"/>
      <x:c r="G12" s="17" t="str">
        <x:v>Offen</x:v>
      </x:c>
    </x:row>
    <x:row r="13" ht="42" customHeight="1">
      <x:c r="A13" s="17" t="str">
        <x:v>M-08</x:v>
      </x:c>
      <x:c r="B13" s="20" t="str"/>
      <x:c r="C13" s="20" t="str"/>
      <x:c r="D13" s="20" t="str"/>
      <x:c r="E13" s="20" t="str"/>
      <x:c r="F13" s="20" t="str"/>
      <x:c r="G13" s="17" t="str">
        <x:v>Offen</x:v>
      </x:c>
    </x:row>
    <x:row r="14" ht="42" customHeight="1">
      <x:c r="A14" s="17" t="str">
        <x:v>M-09</x:v>
      </x:c>
      <x:c r="B14" s="20" t="str"/>
      <x:c r="C14" s="20" t="str"/>
      <x:c r="D14" s="20" t="str"/>
      <x:c r="E14" s="20" t="str"/>
      <x:c r="F14" s="20" t="str"/>
      <x:c r="G14" s="17" t="str">
        <x:v>Offen</x:v>
      </x:c>
    </x:row>
    <x:row r="15" ht="42" customHeight="1">
      <x:c r="A15" s="17" t="str">
        <x:v>M-10</x:v>
      </x:c>
      <x:c r="B15" s="20" t="str"/>
      <x:c r="C15" s="20" t="str"/>
      <x:c r="D15" s="20" t="str"/>
      <x:c r="E15" s="20" t="str"/>
      <x:c r="F15" s="20" t="str"/>
      <x:c r="G15" s="17" t="str">
        <x:v>Offen</x:v>
      </x:c>
    </x:row>
    <x:row r="16" ht="42" customHeight="1">
      <x:c r="A16" s="17" t="str">
        <x:v>M-11</x:v>
      </x:c>
      <x:c r="B16" s="20" t="str"/>
      <x:c r="C16" s="20" t="str"/>
      <x:c r="D16" s="20" t="str"/>
      <x:c r="E16" s="20" t="str"/>
      <x:c r="F16" s="20" t="str"/>
      <x:c r="G16" s="17" t="str">
        <x:v>Offen</x:v>
      </x:c>
    </x:row>
    <x:row r="17" ht="42" customHeight="1">
      <x:c r="A17" s="17" t="str">
        <x:v>M-12</x:v>
      </x:c>
      <x:c r="B17" s="20" t="str"/>
      <x:c r="C17" s="20" t="str"/>
      <x:c r="D17" s="20" t="str"/>
      <x:c r="E17" s="20" t="str"/>
      <x:c r="F17" s="20" t="str"/>
      <x:c r="G17" s="17" t="str">
        <x:v>Offen</x:v>
      </x:c>
    </x:row>
    <x:row r="18" ht="42" customHeight="1">
      <x:c r="A18" s="17" t="str">
        <x:v>M-13</x:v>
      </x:c>
      <x:c r="B18" s="20" t="str"/>
      <x:c r="C18" s="20" t="str"/>
      <x:c r="D18" s="20" t="str"/>
      <x:c r="E18" s="20" t="str"/>
      <x:c r="F18" s="20" t="str"/>
      <x:c r="G18" s="17" t="str">
        <x:v>Offen</x:v>
      </x:c>
    </x:row>
    <x:row r="19" ht="42" customHeight="1">
      <x:c r="A19" s="17" t="str">
        <x:v>M-14</x:v>
      </x:c>
      <x:c r="B19" s="20" t="str"/>
      <x:c r="C19" s="20" t="str"/>
      <x:c r="D19" s="20" t="str"/>
      <x:c r="E19" s="20" t="str"/>
      <x:c r="F19" s="20" t="str"/>
      <x:c r="G19" s="17" t="str">
        <x:v>Offen</x:v>
      </x:c>
    </x:row>
    <x:row r="20" ht="42" customHeight="1">
      <x:c r="A20" s="17" t="str">
        <x:v>M-15</x:v>
      </x:c>
      <x:c r="B20" s="20" t="str"/>
      <x:c r="C20" s="20" t="str"/>
      <x:c r="D20" s="20" t="str"/>
      <x:c r="E20" s="20" t="str"/>
      <x:c r="F20" s="20" t="str"/>
      <x:c r="G20" s="17" t="str">
        <x:v>Offen</x:v>
      </x:c>
    </x:row>
    <x:row r="21" ht="42" customHeight="1">
      <x:c r="A21" s="17" t="str">
        <x:v>M-16</x:v>
      </x:c>
      <x:c r="B21" s="20" t="str"/>
      <x:c r="C21" s="20" t="str"/>
      <x:c r="D21" s="20" t="str"/>
      <x:c r="E21" s="20" t="str"/>
      <x:c r="F21" s="20" t="str"/>
      <x:c r="G21" s="17" t="str">
        <x:v>Offen</x:v>
      </x:c>
    </x:row>
    <x:row r="22" ht="42" customHeight="1">
      <x:c r="A22" s="17" t="str">
        <x:v>M-17</x:v>
      </x:c>
      <x:c r="B22" s="20" t="str"/>
      <x:c r="C22" s="20" t="str"/>
      <x:c r="D22" s="20" t="str"/>
      <x:c r="E22" s="20" t="str"/>
      <x:c r="F22" s="20" t="str"/>
      <x:c r="G22" s="17" t="str">
        <x:v>Offen</x:v>
      </x:c>
    </x:row>
    <x:row r="23" ht="42" customHeight="1">
      <x:c r="A23" s="17" t="str">
        <x:v>M-18</x:v>
      </x:c>
      <x:c r="B23" s="20" t="str"/>
      <x:c r="C23" s="20" t="str"/>
      <x:c r="D23" s="20" t="str"/>
      <x:c r="E23" s="20" t="str"/>
      <x:c r="F23" s="20" t="str"/>
      <x:c r="G23" s="17" t="str">
        <x:v>Offen</x:v>
      </x:c>
    </x:row>
    <x:row r="24" ht="42" customHeight="1">
      <x:c r="A24" s="17" t="str">
        <x:v>M-19</x:v>
      </x:c>
      <x:c r="B24" s="20" t="str"/>
      <x:c r="C24" s="20" t="str"/>
      <x:c r="D24" s="20" t="str"/>
      <x:c r="E24" s="20" t="str"/>
      <x:c r="F24" s="20" t="str"/>
      <x:c r="G24" s="17" t="str">
        <x:v>Offen</x:v>
      </x:c>
    </x:row>
    <x:row r="25" ht="42" customHeight="1">
      <x:c r="A25" s="17" t="str">
        <x:v>M-20</x:v>
      </x:c>
      <x:c r="B25" s="20" t="str"/>
      <x:c r="C25" s="20" t="str"/>
      <x:c r="D25" s="20" t="str"/>
      <x:c r="E25" s="20" t="str"/>
      <x:c r="F25" s="20" t="str"/>
      <x:c r="G25" s="17" t="str">
        <x:v>Offen</x:v>
      </x:c>
    </x:row>
  </x:sheetData>
  <x:mergeCells>
    <x:mergeCell ref="A1:G2"/>
    <x:mergeCell ref="A3:G3"/>
  </x:mergeCells>
  <x:dataValidations count="2">
    <x:dataValidation type="list" sqref="B6:B25">
      <x:formula1>"A,I,B"</x:formula1>
    </x:dataValidation>
    <x:dataValidation type="list" sqref="G6:G25">
      <x:formula1>"Offen,In Bearbeitung,Erledigt,Entfällt"</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42" hidden="0" customWidth="1"/>
    <x:col min="3" max="3" width="54" hidden="0" customWidth="1"/>
    <x:col min="4" max="4" width="45" hidden="0" customWidth="1"/>
  </x:cols>
  <x:sheetData>
    <x:row r="1" ht="28" customHeight="1">
      <x:c r="A1" s="4" t="str">
        <x:v>Legende und Anwendungshinweise</x:v>
      </x:c>
      <x:c r="B1" s="4"/>
      <x:c r="C1" s="4"/>
      <x:c r="D1" s="4"/>
    </x:row>
    <x:row r="2" ht="28" customHeight="1">
      <x:c r="A2" s="4"/>
      <x:c r="B2" s="4"/>
      <x:c r="C2" s="4"/>
      <x:c r="D2" s="4"/>
    </x:row>
    <x:row r="3" ht="24" customHeight="1">
      <x:c r="A3" s="8" t="str">
        <x:v>Anwendung für IEC 61508-2, Kapitel 7.6</x:v>
      </x:c>
      <x:c r="B3" s="8"/>
      <x:c r="C3" s="8"/>
      <x:c r="D3" s="8"/>
    </x:row>
    <x:row r="5">
      <x:c r="A5" s="47" t="str">
        <x:v>Prüfpunktarten in IEC 61508-2, Kapitel 7.6</x:v>
      </x:c>
      <x:c r="B5" s="47" t="str">
        <x:v>Empfehlungsgrade nach IEC 61508</x:v>
      </x:c>
      <x:c r="C5" s="47" t="str"/>
      <x:c r="D5" s="47" t="str"/>
    </x:row>
    <x:row r="6">
      <x:c r="A6" s="47" t="str">
        <x:v>Kennzeichen</x:v>
      </x:c>
      <x:c r="B6" s="47" t="str">
        <x:v>Bedeutung</x:v>
      </x:c>
      <x:c r="C6" s="47" t="str">
        <x:v>Anwendung im Review</x:v>
      </x:c>
      <x:c r="D6" s="47" t="str">
        <x:v>Geltungsbereich</x:v>
      </x:c>
    </x:row>
    <x:row r="7" ht="52" customHeight="1">
      <x:c r="A7" s="17" t="str">
        <x:v>A</x:v>
      </x:c>
      <x:c r="B7" s="17" t="str">
        <x:v>Verbindliche Anforderung</x:v>
      </x:c>
      <x:c r="C7" s="17" t="str">
        <x:v>Erfüllung anhand eines konkreten, freigegebenen Nachweises bewerten.</x:v>
      </x:c>
      <x:c r="D7" s="17" t="str">
        <x:v>IEC 61508-2, 7.6.2</x:v>
      </x:c>
    </x:row>
    <x:row r="8" ht="52" customHeight="1">
      <x:c r="A8" s="17" t="str">
        <x:v>Z</x:v>
      </x:c>
      <x:c r="B8" s="17" t="str">
        <x:v>Ziel des Unterabschnitts</x:v>
      </x:c>
      <x:c r="C8" s="17" t="str">
        <x:v>Prüfen, ob die geforderte technische Wirkung vollständig erreicht wird.</x:v>
      </x:c>
      <x:c r="D8" s="17" t="str">
        <x:v>IEC 61508-2, 7.6.1</x:v>
      </x:c>
    </x:row>
    <x:row r="9" ht="52" customHeight="1">
      <x:c r="A9" s="17" t="str">
        <x:v>I</x:v>
      </x:c>
      <x:c r="B9" s="17" t="str">
        <x:v>Informative Anmerkung</x:v>
      </x:c>
      <x:c r="C9" s="17" t="str">
        <x:v>Als Auslegungshilfe verwenden; nicht als eigenständige Muss-Anforderung behandeln.</x:v>
      </x:c>
      <x:c r="D9" s="17" t="str">
        <x:v>Anmerkungen zu 7.6</x:v>
      </x:c>
    </x:row>
    <x:row r="10" ht="52" customHeight="1"/>
    <x:row r="11" ht="52" customHeight="1">
      <x:c r="A11" s="47" t="str">
        <x:v>Arbeitsweise</x:v>
      </x:c>
      <x:c r="B11" s="47" t="str"/>
      <x:c r="C11" s="47" t="str"/>
      <x:c r="D11" s="47" t="str"/>
    </x:row>
    <x:row r="12" ht="52" customHeight="1">
      <x:c r="A12" s="47" t="str">
        <x:v>Schritt</x:v>
      </x:c>
      <x:c r="B12" s="47" t="str">
        <x:v>Vorgehen</x:v>
      </x:c>
      <x:c r="C12" s="47" t="str">
        <x:v>Dokumentation</x:v>
      </x:c>
      <x:c r="D12" s="47" t="str">
        <x:v>Hinweis</x:v>
      </x:c>
    </x:row>
    <x:row r="13" ht="52" customHeight="1">
      <x:c r="A13" s="17" t="str">
        <x:v>1</x:v>
      </x:c>
      <x:c r="B13" s="17" t="str">
        <x:v>Reviewdaten auf Übersicht ausfüllen.</x:v>
      </x:c>
      <x:c r="C13" s="17" t="str">
        <x:v>Projekt, Dokument, SIL, Teilnehmer und Termin erfassen.</x:v>
      </x:c>
      <x:c r="D13" s="17" t="str">
        <x:v>Gelbe Zellen sind Eingabefelder.</x:v>
      </x:c>
    </x:row>
    <x:row r="14" ht="52" customHeight="1">
      <x:c r="A14" s="17" t="str">
        <x:v>2</x:v>
      </x:c>
      <x:c r="B14" s="17" t="str">
        <x:v>Dokumente registrieren.</x:v>
      </x:c>
      <x:c r="C14" s="17" t="str">
        <x:v>Kennung, Version, Status, Verantwortlichen und Ablageort eintragen.</x:v>
      </x:c>
      <x:c r="D14" s="17" t="str">
        <x:v>D01 bis D12 sind für Kapitel 7.6 vorbereitet.</x:v>
      </x:c>
    </x:row>
    <x:row r="15" ht="52" customHeight="1">
      <x:c r="A15" s="17" t="str">
        <x:v>3</x:v>
      </x:c>
      <x:c r="B15" s="17" t="str">
        <x:v>Prüfpunkte bewerten.</x:v>
      </x:c>
      <x:c r="C15" s="17" t="str">
        <x:v>Auf Review 7.6 Ergebnis und konkrete Nachweise eintragen.</x:v>
      </x:c>
      <x:c r="D15" s="17" t="str">
        <x:v>Status über das Auswahlfeld setzen.</x:v>
      </x:c>
    </x:row>
    <x:row r="16" ht="52" customHeight="1">
      <x:c r="A16" s="17" t="str">
        <x:v>4</x:v>
      </x:c>
      <x:c r="B16" s="17" t="str">
        <x:v>Maßnahmen erfassen.</x:v>
      </x:c>
      <x:c r="C16" s="17" t="str">
        <x:v>Abweichungen und Beschlüsse mit Verantwortlichem und Termin führen.</x:v>
      </x:c>
      <x:c r="D16" s="17" t="str">
        <x:v>IDs M-01 bis M-20 sind vorbereitet.</x:v>
      </x:c>
    </x:row>
    <x:row r="17" ht="52" customHeight="1">
      <x:c r="A17" s="17" t="str">
        <x:v>5</x:v>
      </x:c>
      <x:c r="B17" s="17" t="str">
        <x:v>Teil-7-Referenzen anwenden.</x:v>
      </x:c>
      <x:c r="C17" s="17" t="str">
        <x:v>Empfehlungsgrad und Wirksamkeit für SIL 1 bis SIL 3 getrennt bewerten.</x:v>
      </x:c>
      <x:c r="D17" s="17" t="str">
        <x:v>Teil-7-Verfahren sind informativ; die Muss-Anforderung folgt aus Teil 2.</x:v>
      </x:c>
    </x:row>
    <x:row r="18" ht="52" customHeight="1">
      <x:c r="A18" s="17" t="str">
        <x:v>6</x:v>
      </x:c>
      <x:c r="B18" s="17" t="str">
        <x:v>Gesamtergebnis festlegen.</x:v>
      </x:c>
      <x:c r="C18" s="17" t="str">
        <x:v>Ergebnis, Begründung und Zusammenfassung dokumentieren.</x:v>
      </x:c>
      <x:c r="D18" s="17" t="str">
        <x:v>Kennzahlen werden automatisch berechnet.</x:v>
      </x:c>
    </x:row>
    <x:row r="19" ht="52" customHeight="1">
      <x:c r="A19" s="17" t="str">
        <x:v>7</x:v>
      </x:c>
      <x:c r="B19" s="17" t="str">
        <x:v>Unterschriften dokumentieren.</x:v>
      </x:c>
      <x:c r="C19" s="17" t="str">
        <x:v>Name, Funktion, Datum und Bestätigung eintragen.</x:v>
      </x:c>
      <x:c r="D19" s="17" t="str">
        <x:v>Digital oder nach Ausdruck verwendbar.</x:v>
      </x:c>
    </x:row>
    <x:row r="20" ht="52" customHeight="1"/>
    <x:row r="21" ht="38" customHeight="1">
      <x:c r="A21" s="52" t="str">
        <x:v>Quellen: DIN EN 61508-2, Kapitel 7.6; DIN EN 61508-7 gemäß den exakt angegebenen Einzelreferenzen.</x:v>
      </x:c>
      <x:c r="B21" s="52"/>
      <x:c r="C21" s="52"/>
      <x:c r="D21" s="52"/>
    </x:row>
  </x:sheetData>
  <x:mergeCells>
    <x:mergeCell ref="A1:D2"/>
    <x:mergeCell ref="A3:D3"/>
    <x:mergeCell ref="A21:D2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5" hidden="0" customWidth="1"/>
    <x:col min="2" max="2" width="32" hidden="0" customWidth="1"/>
    <x:col min="3" max="3" width="22" hidden="0" customWidth="1"/>
    <x:col min="4" max="4" width="22" hidden="0" customWidth="1"/>
    <x:col min="5" max="5" width="45" hidden="0" customWidth="1"/>
  </x:cols>
  <x:sheetData>
    <x:row r="1" ht="28" customHeight="1">
      <x:c r="A1" s="4" t="str">
        <x:v>Anhang Formblatt Unterschriften</x:v>
      </x:c>
      <x:c r="B1" s="4"/>
      <x:c r="C1" s="4"/>
      <x:c r="D1" s="4"/>
      <x:c r="E1" s="4"/>
    </x:row>
    <x:row r="2" ht="28" customHeight="1">
      <x:c r="A2" s="4"/>
      <x:c r="B2" s="4"/>
      <x:c r="C2" s="4"/>
      <x:c r="D2" s="4"/>
      <x:c r="E2" s="4"/>
    </x:row>
    <x:row r="3" ht="24" customHeight="1">
      <x:c r="A3" s="8" t="str">
        <x:v>Bestätigung des Reviews nach IEC 61508-2, Kapitel 7.6</x:v>
      </x:c>
      <x:c r="B3" s="8"/>
      <x:c r="C3" s="8"/>
      <x:c r="D3" s="8"/>
      <x:c r="E3" s="8"/>
    </x:row>
    <x:row r="5">
      <x:c r="A5" s="47" t="str">
        <x:v>Name</x:v>
      </x:c>
      <x:c r="B5" s="47" t="str">
        <x:v>Funktion / Organisation</x:v>
      </x:c>
      <x:c r="C5" s="47" t="str">
        <x:v>Datum</x:v>
      </x:c>
      <x:c r="D5" s="47" t="str">
        <x:v>Bestätigung</x:v>
      </x:c>
      <x:c r="E5" s="47" t="str">
        <x:v>Bemerkung</x:v>
      </x:c>
    </x:row>
    <x:row r="6" ht="50" customHeight="1">
      <x:c r="A6" s="20" t="str"/>
      <x:c r="B6" s="20" t="str"/>
      <x:c r="C6" s="20" t="str"/>
      <x:c r="D6" s="20" t="str"/>
      <x:c r="E6" s="20" t="str"/>
    </x:row>
    <x:row r="7" ht="50" customHeight="1">
      <x:c r="A7" s="20" t="str"/>
      <x:c r="B7" s="20" t="str"/>
      <x:c r="C7" s="20" t="str"/>
      <x:c r="D7" s="20" t="str"/>
      <x:c r="E7" s="20" t="str"/>
    </x:row>
    <x:row r="8" ht="50" customHeight="1">
      <x:c r="A8" s="20" t="str"/>
      <x:c r="B8" s="20" t="str"/>
      <x:c r="C8" s="20" t="str"/>
      <x:c r="D8" s="20" t="str"/>
      <x:c r="E8" s="20" t="str"/>
    </x:row>
    <x:row r="9" ht="50" customHeight="1">
      <x:c r="A9" s="20" t="str"/>
      <x:c r="B9" s="20" t="str"/>
      <x:c r="C9" s="20" t="str"/>
      <x:c r="D9" s="20" t="str"/>
      <x:c r="E9" s="20" t="str"/>
    </x:row>
    <x:row r="10" ht="50" customHeight="1">
      <x:c r="A10" s="20" t="str"/>
      <x:c r="B10" s="20" t="str"/>
      <x:c r="C10" s="20" t="str"/>
      <x:c r="D10" s="20" t="str"/>
      <x:c r="E10" s="20" t="str"/>
    </x:row>
    <x:row r="11" ht="50" customHeight="1">
      <x:c r="A11" s="20" t="str"/>
      <x:c r="B11" s="20" t="str"/>
      <x:c r="C11" s="20" t="str"/>
      <x:c r="D11" s="20" t="str"/>
      <x:c r="E11" s="20" t="str"/>
    </x:row>
    <x:row r="12" ht="50" customHeight="1">
      <x:c r="A12" s="20" t="str"/>
      <x:c r="B12" s="20" t="str"/>
      <x:c r="C12" s="20" t="str"/>
      <x:c r="D12" s="20" t="str"/>
      <x:c r="E12" s="20" t="str"/>
    </x:row>
    <x:row r="13" ht="50" customHeight="1">
      <x:c r="A13" s="20" t="str"/>
      <x:c r="B13" s="20" t="str"/>
      <x:c r="C13" s="20" t="str"/>
      <x:c r="D13" s="20" t="str"/>
      <x:c r="E13" s="20" t="str"/>
    </x:row>
    <x:row r="14" ht="50" customHeight="1">
      <x:c r="A14" s="20" t="str"/>
      <x:c r="B14" s="20" t="str"/>
      <x:c r="C14" s="20" t="str"/>
      <x:c r="D14" s="20" t="str"/>
      <x:c r="E14" s="20" t="str"/>
    </x:row>
    <x:row r="15" ht="50" customHeight="1">
      <x:c r="A15" s="20" t="str"/>
      <x:c r="B15" s="20" t="str"/>
      <x:c r="C15" s="20" t="str"/>
      <x:c r="D15" s="20" t="str"/>
      <x:c r="E15" s="20" t="str"/>
    </x:row>
  </x:sheetData>
  <x:mergeCells>
    <x:mergeCell ref="A1:E2"/>
    <x:mergeCell ref="A3:E3"/>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36" hidden="0" customWidth="1"/>
    <x:col min="3" max="3" width="72" hidden="0" customWidth="1"/>
    <x:col min="4" max="4" width="24" hidden="0" customWidth="1"/>
    <x:col min="5" max="5" width="18" hidden="0" customWidth="1"/>
    <x:col min="6" max="6" width="18" hidden="0" customWidth="1"/>
    <x:col min="7" max="7" width="18" hidden="0" customWidth="1"/>
    <x:col min="8" max="8" width="38" hidden="0" customWidth="1"/>
    <x:col min="9" max="9" width="36" hidden="0" customWidth="1"/>
  </x:cols>
  <x:sheetData>
    <x:row r="1" ht="28" customHeight="1">
      <x:c r="A1" s="4" t="str">
        <x:v>Verfahren und Maßnahmen – IEC 61508-2, Kapitel 7.6</x:v>
      </x:c>
      <x:c r="B1" s="4"/>
      <x:c r="C1" s="4"/>
      <x:c r="D1" s="4"/>
      <x:c r="E1" s="4"/>
      <x:c r="F1" s="4"/>
      <x:c r="G1" s="4"/>
      <x:c r="H1" s="4"/>
      <x:c r="I1" s="4"/>
    </x:row>
    <x:row r="2" ht="28" customHeight="1">
      <x:c r="A2" s="4"/>
      <x:c r="B2" s="4"/>
      <x:c r="C2" s="4"/>
      <x:c r="D2" s="4"/>
      <x:c r="E2" s="4"/>
      <x:c r="F2" s="4"/>
      <x:c r="G2" s="4"/>
      <x:c r="H2" s="4"/>
      <x:c r="I2" s="4"/>
    </x:row>
    <x:row r="3" ht="24" customHeight="1">
      <x:c r="A3" s="8" t="str">
        <x:v>Exakte Referenzen auf IEC 61508-7; Erläuterungen sind ingenieurwissenschaftlich aus den referenzierten Abschnitten abgeleitet.</x:v>
      </x:c>
      <x:c r="B3" s="8"/>
      <x:c r="C3" s="8"/>
      <x:c r="D3" s="8"/>
      <x:c r="E3" s="8"/>
      <x:c r="F3" s="8"/>
      <x:c r="G3" s="8"/>
      <x:c r="H3" s="8"/>
      <x:c r="I3" s="8"/>
    </x:row>
    <x:row r="5">
      <x:c r="A5" s="12" t="str">
        <x:v>Referenztabelle Verfahren und Maßnahmen</x:v>
      </x:c>
      <x:c r="B5" s="12"/>
      <x:c r="C5" s="12"/>
      <x:c r="D5" s="12"/>
      <x:c r="E5" s="12"/>
      <x:c r="F5" s="12"/>
      <x:c r="G5" s="12"/>
      <x:c r="H5" s="12"/>
      <x:c r="I5" s="12"/>
    </x:row>
    <x:row r="6" ht="42" customHeight="1">
      <x:c r="A6" s="47" t="str">
        <x:v>Nr.</x:v>
      </x:c>
      <x:c r="B6" s="47" t="str">
        <x:v>Verfahren / Maßnahme</x:v>
      </x:c>
      <x:c r="C6" s="47" t="str">
        <x:v>Erläuterung</x:v>
      </x:c>
      <x:c r="D6" s="47" t="str">
        <x:v>IEC 61508-7</x:v>
      </x:c>
      <x:c r="E6" s="47" t="str">
        <x:v>SIL 1</x:v>
      </x:c>
      <x:c r="F6" s="47" t="str">
        <x:v>SIL 2</x:v>
      </x:c>
      <x:c r="G6" s="47" t="str">
        <x:v>SIL 3</x:v>
      </x:c>
      <x:c r="H6" s="47" t="str">
        <x:v>Quelle in IEC 61508-2</x:v>
      </x:c>
      <x:c r="I6" s="47" t="str">
        <x:v>Review / Nachweis</x:v>
      </x:c>
    </x:row>
    <x:row r="7" ht="100" customHeight="1">
      <x:c r="A7" s="18" t="str">
        <x:v>B.4/1</x:v>
      </x:c>
      <x:c r="B7" s="17" t="str">
        <x:v>Betriebs- und Instandhaltungsanweisungen</x:v>
      </x:c>
      <x:c r="C7" s="17" t="str">
        <x:v>Betriebs- und Instandhaltungsanweisungen stellen die für sichere Nutzung und Erhaltung wesentlichen Informationen bereit. Komplexe Abläufe sind durch eindeutige Schritte, Beispiele oder Diagramme verständlich darzustellen. Grenzen, Voraussetzungen und Reaktionen auf Störungen müssen so beschrieben sein, dass keine sicherheitskritische Interpretation erforderlich ist.</x:v>
      </x:c>
      <x:c r="D7" s="17" t="str">
        <x:v>B.4.1</x:v>
      </x:c>
      <x:c r="E7" s="17" t="str">
        <x:v>++ / hoch</x:v>
      </x:c>
      <x:c r="F7" s="17" t="str">
        <x:v>++ / hoch</x:v>
      </x:c>
      <x:c r="G7" s="17" t="str">
        <x:v>++ / hoch</x:v>
      </x:c>
      <x:c r="H7" s="17" t="str">
        <x:v>IEC 61508-2, Tabelle B.4, Nr. 1</x:v>
      </x:c>
      <x:c r="I7" s="20" t="str"/>
    </x:row>
    <x:row r="8" ht="100" customHeight="1">
      <x:c r="A8" s="18" t="str">
        <x:v>B.4/2</x:v>
      </x:c>
      <x:c r="B8" s="17" t="str">
        <x:v>Benutzerfreundlichkeit</x:v>
      </x:c>
      <x:c r="C8" s="17" t="str">
        <x:v>Benutzerfreundlichkeit reduziert notwendige menschliche Eingriffe und gestaltet Bedienhandlungen einfach und eindeutig. Anzeigen und Bedienelemente müssen ergonomisch, intuitiv und gegen Informationsüberlastung ausgelegt sein. Ausbildung und Benutzeroberfläche sind an Komplexität und Sicherheitsrelevanz der Aufgabe anzupassen.</x:v>
      </x:c>
      <x:c r="D8" s="17" t="str">
        <x:v>B.4.2</x:v>
      </x:c>
      <x:c r="E8" s="17" t="str">
        <x:v>++ / hoch</x:v>
      </x:c>
      <x:c r="F8" s="17" t="str">
        <x:v>++ / hoch</x:v>
      </x:c>
      <x:c r="G8" s="17" t="str">
        <x:v>++ / hoch</x:v>
      </x:c>
      <x:c r="H8" s="17" t="str">
        <x:v>IEC 61508-2, Tabelle B.4, Nr. 2</x:v>
      </x:c>
      <x:c r="I8" s="20" t="str"/>
    </x:row>
    <x:row r="9" ht="100" customHeight="1">
      <x:c r="A9" s="18" t="str">
        <x:v>B.4/3</x:v>
      </x:c>
      <x:c r="B9" s="17" t="str">
        <x:v>Instandhaltungsfreundlichkeit</x:v>
      </x:c>
      <x:c r="C9" s="17" t="str">
        <x:v>Instandhaltungsfreundlichkeit vermindert Umfang und Fehleranfälligkeit erforderlicher Wartungstätigkeiten. Geeignete Diagnosemittel und zugängliche Schnittstellen unterstützen eine eindeutige Fehlerlokalisierung. Notwendige separate Werkzeuge müssen rechtzeitig verfügbar, beherrscht und instandgehalten sein.</x:v>
      </x:c>
      <x:c r="D9" s="17" t="str">
        <x:v>B.4.3</x:v>
      </x:c>
      <x:c r="E9" s="17" t="str">
        <x:v>++ / hoch</x:v>
      </x:c>
      <x:c r="F9" s="17" t="str">
        <x:v>++ / hoch</x:v>
      </x:c>
      <x:c r="G9" s="17" t="str">
        <x:v>++ / hoch</x:v>
      </x:c>
      <x:c r="H9" s="17" t="str">
        <x:v>IEC 61508-2, Tabelle B.4, Nr. 3</x:v>
      </x:c>
      <x:c r="I9" s="20" t="str"/>
    </x:row>
    <x:row r="10" ht="100" customHeight="1">
      <x:c r="A10" s="18" t="str">
        <x:v>B.4/4</x:v>
      </x:c>
      <x:c r="B10" s="17" t="str">
        <x:v>Projektmanagement</x:v>
      </x:c>
      <x:c r="C10" s="17" t="str">
        <x:v>Das Projektmanagement ordnet Aufgaben, Rollen, Befugnisse und organisatorische Unabhängigkeit eindeutig zu. Es legt den Sicherheitslebenszyklus, Qualitätsmaßnahmen, Prüfungen und Freigaben nachvollziehbar fest. Dadurch werden Verantwortungsdiffusion, ungeprüfte Übergaben und unkontrollierte Änderungen systematisch vermieden.</x:v>
      </x:c>
      <x:c r="D10" s="17" t="str">
        <x:v>B.1.1</x:v>
      </x:c>
      <x:c r="E10" s="17" t="str">
        <x:v>verbindlich / niedrig</x:v>
      </x:c>
      <x:c r="F10" s="17" t="str">
        <x:v>verbindlich / niedrig</x:v>
      </x:c>
      <x:c r="G10" s="17" t="str">
        <x:v>verbindlich / mittel</x:v>
      </x:c>
      <x:c r="H10" s="17" t="str">
        <x:v>IEC 61508-2, Tabelle B.4, Nr. 4</x:v>
      </x:c>
      <x:c r="I10" s="20" t="str"/>
    </x:row>
    <x:row r="11" ht="100" customHeight="1">
      <x:c r="A11" s="18" t="str">
        <x:v>B.4/5</x:v>
      </x:c>
      <x:c r="B11" s="17" t="str">
        <x:v>Dokumentation</x:v>
      </x:c>
      <x:c r="C11" s="17" t="str">
        <x:v>Die Dokumentation bildet jeden relevanten Entwicklungsschritt und seine Ergebnisse nachvollziehbar ab. Struktur, Inhalt, Versionierung und Freigabestatus müssen so beherrscht sein, dass Anforderungen und Nachweise rückverfolgbar bleiben. Kontrollierte Dokument- und Bibliotheksbestände verhindern, dass veraltete oder ungeprüfte Informationen verwendet werden.</x:v>
      </x:c>
      <x:c r="D11" s="17" t="str">
        <x:v>B.1.2</x:v>
      </x:c>
      <x:c r="E11" s="17" t="str">
        <x:v>verbindlich / niedrig</x:v>
      </x:c>
      <x:c r="F11" s="17" t="str">
        <x:v>verbindlich / niedrig</x:v>
      </x:c>
      <x:c r="G11" s="17" t="str">
        <x:v>verbindlich / mittel</x:v>
      </x:c>
      <x:c r="H11" s="17" t="str">
        <x:v>IEC 61508-2, Tabelle B.4, Nr. 5</x:v>
      </x:c>
      <x:c r="I11" s="20" t="str"/>
    </x:row>
    <x:row r="12" ht="100" customHeight="1">
      <x:c r="A12" s="18" t="str">
        <x:v>B.4/6</x:v>
      </x:c>
      <x:c r="B12" s="17" t="str">
        <x:v>Eingeschränkte Betriebsmöglichkeiten</x:v>
      </x:c>
      <x:c r="C12" s="17" t="str">
        <x:v>Eingeschränkte Betriebsmöglichkeiten begrenzen verfügbare Betriebsarten, Einstellungen oder Bedienhandlungen. Technische Mittel wie Schlüsselschalter oder Berechtigungsstufen verhindern unzulässige Zustände. Die Einschränkungen müssen aus der Gefährdungsanalyse abgeleitet und gegen Umgehung angemessen geschützt sein.</x:v>
      </x:c>
      <x:c r="D12" s="17" t="str">
        <x:v>B.4.4</x:v>
      </x:c>
      <x:c r="E12" s="17" t="str">
        <x:v>o / niedrig</x:v>
      </x:c>
      <x:c r="F12" s="17" t="str">
        <x:v>+ / niedrig</x:v>
      </x:c>
      <x:c r="G12" s="17" t="str">
        <x:v>++ / mittel</x:v>
      </x:c>
      <x:c r="H12" s="17" t="str">
        <x:v>IEC 61508-2, Tabelle B.4, Nr. 6</x:v>
      </x:c>
      <x:c r="I12" s="20" t="str"/>
    </x:row>
    <x:row r="13" ht="100" customHeight="1">
      <x:c r="A13" s="18" t="str">
        <x:v>B.4/7</x:v>
      </x:c>
      <x:c r="B13" s="17" t="str">
        <x:v>Schutz gegen Irrtümer des Bedieners</x:v>
      </x:c>
      <x:c r="C13" s="17" t="str">
        <x:v>Schutz gegen Bedienirrtümer erkennt unzulässige Eingaben durch Plausibilitätsprüfungen oder Überwachung des EUC-Zustands. Zulässige Werte, Sequenzen und Reaktionen sind frühzeitig festzulegen. Fehlerhafte Eingaben dürfen nicht unkontrolliert in einen gefährlichen Zustand überführt werden.</x:v>
      </x:c>
      <x:c r="D13" s="17" t="str">
        <x:v>B.4.6</x:v>
      </x:c>
      <x:c r="E13" s="17" t="str">
        <x:v>o / niedrig</x:v>
      </x:c>
      <x:c r="F13" s="17" t="str">
        <x:v>+ / niedrig</x:v>
      </x:c>
      <x:c r="G13" s="17" t="str">
        <x:v>++ / mittel</x:v>
      </x:c>
      <x:c r="H13" s="17" t="str">
        <x:v>IEC 61508-2, Tabelle B.4, Nr. 7</x:v>
      </x:c>
      <x:c r="I13" s="20" t="str"/>
    </x:row>
    <x:row r="14" ht="100" customHeight="1">
      <x:c r="A14" s="18" t="str">
        <x:v>B.4/8</x:v>
      </x:c>
      <x:c r="B14" s="17" t="str">
        <x:v>Betrieb nur durch erfahrene Bediener</x:v>
      </x:c>
      <x:c r="C14" s="17" t="str">
        <x:v>Der Betrieb durch erfahrene Bediener verlangt eine der Komplexität und dem SIL angemessene Qualifikation. Schulung muss den Zusammenhang zwischen EUC, Sicherheitsfunktion und Bedienhandlung vermitteln. Kompetenz und Autorisierung sind nachweisbar aufrechtzuerhalten.</x:v>
      </x:c>
      <x:c r="D14" s="17" t="str">
        <x:v>B.4.5</x:v>
      </x:c>
      <x:c r="E14" s="17" t="str">
        <x:v>o / niedrig</x:v>
      </x:c>
      <x:c r="F14" s="17" t="str">
        <x:v>+ / niedrig</x:v>
      </x:c>
      <x:c r="G14" s="17" t="str">
        <x:v>+ / mittel</x:v>
      </x:c>
      <x:c r="H14" s="17" t="str">
        <x:v>IEC 61508-2, Tabelle B.4, Nr. 8</x:v>
      </x:c>
      <x:c r="I14" s="20" t="str"/>
    </x:row>
    <x:row r="16" ht="52" customHeight="1">
      <x:c r="A16" s="56" t="str">
        <x:v>Hinweis: ++ = dringend empfohlen, + = empfohlen, o = keine Empfehlung für oder gegen, -- = ausdrücklich nicht empfohlen. Verbindliche Einträge und Gruppenregeln der jeweiligen Tabelle sind zusätzlich zu beachten. SIL 4 ist entsprechend der vereinbarten Prüftiefe nicht dargestellt.</x:v>
      </x:c>
      <x:c r="B16" s="56"/>
      <x:c r="C16" s="56"/>
      <x:c r="D16" s="56"/>
      <x:c r="E16" s="56"/>
      <x:c r="F16" s="56"/>
      <x:c r="G16" s="56"/>
      <x:c r="H16" s="56"/>
      <x:c r="I16" s="56"/>
    </x:row>
  </x:sheetData>
  <x:mergeCells>
    <x:mergeCell ref="A1:I2"/>
    <x:mergeCell ref="A3:I3"/>
    <x:mergeCell ref="A5:I5"/>
    <x:mergeCell ref="A16:I16"/>
  </x:mergeCells>
  <x:pageMargins left="0.7" right="0.7" top="0.75" bottom="0.75" header="0.3" footer="0.3"/>
</x:worksheet>
</file>