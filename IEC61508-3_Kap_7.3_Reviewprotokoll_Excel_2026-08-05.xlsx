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804DAB8A-7BA2-4D15-8193-0FB815DA7EDF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Übersicht" sheetId="1" r:id="rId1"/>
    <sheet name="Review 7.3" sheetId="2" r:id="rId2"/>
    <sheet name="Eingabe- &amp; Ausgabe" sheetId="3" r:id="rId3"/>
    <sheet name="Maßnahmen" sheetId="4" r:id="rId4"/>
    <sheet name="Legende &amp; Hinweise" sheetId="6" r:id="rId5"/>
    <sheet name="Unterschriften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3" l="1"/>
  <c r="H5" i="3"/>
  <c r="F5" i="3"/>
  <c r="D5" i="3"/>
  <c r="G20" i="1"/>
  <c r="E20" i="1"/>
  <c r="C20" i="1"/>
  <c r="A20" i="1"/>
  <c r="H20" i="1" s="1"/>
</calcChain>
</file>

<file path=xl/sharedStrings.xml><?xml version="1.0" encoding="utf-8"?>
<sst xmlns="http://schemas.openxmlformats.org/spreadsheetml/2006/main" count="427" uniqueCount="215">
  <si>
    <t>Reviewprotokoll IEC 61508-3 – Kapitel 7.3 Validierungsplan für die Softwareaspekte der Systemsicherheit</t>
  </si>
  <si>
    <t>Strukturierte Arbeitsmappe für SIL 1 bis SIL 3 · Eingabefelder sind gelb markiert</t>
  </si>
  <si>
    <t>Reviewdaten</t>
  </si>
  <si>
    <t>Projekt / Teilprojekt</t>
  </si>
  <si>
    <t>Review-Gegenstand</t>
  </si>
  <si>
    <t>Dokument / Referenz</t>
  </si>
  <si>
    <t>Index</t>
  </si>
  <si>
    <t>SIL</t>
  </si>
  <si>
    <t>Checkliste</t>
  </si>
  <si>
    <t>IEC 61508-3: Kapitel 7.3 Validierungsplan für die Softwareaspekte der Systemsicherheit</t>
  </si>
  <si>
    <t>Ort</t>
  </si>
  <si>
    <t>Datum / Zeitraum</t>
  </si>
  <si>
    <t>Reviewleitung</t>
  </si>
  <si>
    <t>Protokollführung</t>
  </si>
  <si>
    <t>Teilnehmer</t>
  </si>
  <si>
    <t>Teilnehmer 1</t>
  </si>
  <si>
    <t>Teilnehmer 2</t>
  </si>
  <si>
    <t>Teilnehmer 3</t>
  </si>
  <si>
    <t>Teilnehmer 4</t>
  </si>
  <si>
    <t>Fortschritt und Review-Ergebnis</t>
  </si>
  <si>
    <t>Prüfpunkte</t>
  </si>
  <si>
    <t>OK</t>
  </si>
  <si>
    <t>Nicht OK</t>
  </si>
  <si>
    <t>Nicht geprüft</t>
  </si>
  <si>
    <t>Abschluss</t>
  </si>
  <si>
    <t>Gesamtergebnis</t>
  </si>
  <si>
    <t>Ergebnis / Begründung</t>
  </si>
  <si>
    <t>Zusammenfassung</t>
  </si>
  <si>
    <t>Das Dokument wurde auf konzeptionelle Fehler, inhaltliche Fehler und auf Konformität zu den Anforderungen der IEC 61508 geprüft.</t>
  </si>
  <si>
    <t>Checkliste – IEC 61508-3, Kapitel 7.3</t>
  </si>
  <si>
    <t>Prüfergebnis: konkrete Bewertung des Prüfpunkts. Kommentar / Nachweis: Begründung, Referenz auf Nachweise oder offene Punkte.</t>
  </si>
  <si>
    <t>Kapitel 7.3</t>
  </si>
  <si>
    <t>Validierungsplan für die Softwareaspekte der Systemsicherheit</t>
  </si>
  <si>
    <t>6 Prüfpunkte</t>
  </si>
  <si>
    <t>Dokumentenbezug</t>
  </si>
  <si>
    <t>Status / OK</t>
  </si>
  <si>
    <t>Nr.</t>
  </si>
  <si>
    <t>Normkapitel</t>
  </si>
  <si>
    <t>Prüffrage / Prüfkriterium</t>
  </si>
  <si>
    <t>Prüfergebnis</t>
  </si>
  <si>
    <t>Kommentar / Nachweis</t>
  </si>
  <si>
    <t>E/A-Dokumente (IDs)</t>
  </si>
  <si>
    <t>Z1</t>
  </si>
  <si>
    <t>7.3.1</t>
  </si>
  <si>
    <t>Ist ein nachvollziehbarer Plan entwickelt, mit dem die sicherheitsbezogene Software unter den Aspekten der Systemsicherheit validiert werden kann?</t>
  </si>
  <si>
    <t>D01, D02</t>
  </si>
  <si>
    <t>1</t>
  </si>
  <si>
    <t>7.3.2.1</t>
  </si>
  <si>
    <t>Liegt ein Plan vor, der die verfahrensbezogenen und technischen Schritte festlegt, mit denen nachgewiesen wird, dass die Software ihre Sicherheitsanforderungen erfüllt?</t>
  </si>
  <si>
    <t>2</t>
  </si>
  <si>
    <t>7.3.2.2</t>
  </si>
  <si>
    <t>Legt der Validierungsplan für die Softwareaspekte der Systemsicherheit Folgendes fest:
a) wann die Validierung durchgeführt wird;
b) welche Personen die Validierung durchführen;
c) welche wichtigen Betriebsarten der EUC betrachtet werden, einschließlich:
1) Vorbereitung zum Betrieb, Einrichten und Justieren;
2) Start-, Einlern-, Automatik-, Hand-, Halbautomatik- und Dauerbetrieb;
3) Rücksetzen, Abschaltung und Instandhaltung;
4) vernünftigerweise vorhersehbare anormale Zustände und Fehlbedienungen;
d) welche sicherheitsbezogene Software vor der Inbetriebnahme für jede Betriebsart der EUC zu validieren ist;
e) welche Vorgehensweise für die Validierung verwendet wird;
f) welche Verfahren und Vorgehensweisen bestätigen, dass jede Sicherheitsfunktion die Anforderungen an die Funktionen bezüglich der Sicherheit und an die systematische Eignung der Software erfüllt;
g) unter welchen Umgebungsbedingungen die Validierung durchgeführt wird;
h) welche Kriterien für bestanden und nicht bestanden gelten;
i) wie die Ergebnisse, insbesondere ein Versagen, bewertet werden?</t>
  </si>
  <si>
    <t>D02–D10</t>
  </si>
  <si>
    <t>3</t>
  </si>
  <si>
    <t>7.3.2.3</t>
  </si>
  <si>
    <t>Ist die gewählte Vorgehensweise für die Validierung begründet, und legt die technische Vorgehensweise fest:
a) ob manuelle oder automatisierte Verfahren oder beide eingesetzt werden;
b) ob statische oder dynamische Verfahren oder beide eingesetzt werden;
c) ob analytische oder statistische Verfahren oder beide eingesetzt werden;
d) ob die Akzeptanzkriterien auf objektiven Faktoren, auf Beurteilungen durch Experten oder auf beidem beruhen?</t>
  </si>
  <si>
    <t>D07, D09, D12</t>
  </si>
  <si>
    <t>4</t>
  </si>
  <si>
    <t>7.3.2.4</t>
  </si>
  <si>
    <t>Sind Bereich und Inhalt des Validierungsplans für die Softwareaspekte der Systemsicherheit mit der beurteilenden Person oder ihrer Vertretung abgestimmt, soweit dies der Sicherheits-Integritätslevel fordert? Ist außerdem festgelegt, ob die beurteilende Person während der Tests anwesend sein muss?</t>
  </si>
  <si>
    <t>D04, D11</t>
  </si>
  <si>
    <t>5</t>
  </si>
  <si>
    <t>7.3.2.5</t>
  </si>
  <si>
    <t>Enthalten die Kriterien für bestandene und nicht bestandene Softwarevalidierungen:
a) die erforderlichen Eingangssignale mit Reihenfolge und Werten;
b) die erwarteten Ausgangssignale mit Reihenfolge und Werten;
c) weitere Annahmekriterien, zum Beispiel Speicherbelegung sowie Zeit- und Wertetoleranzen?</t>
  </si>
  <si>
    <t>D09, D10</t>
  </si>
  <si>
    <t>Eingabe- und Ausgabedokumente – Kapitel 7.3</t>
  </si>
  <si>
    <t>Normnahes Dokumentenregister mit Bezug zu Prüfpunkt und Normkapitel. Gelbe Zellen werden projektspezifisch ausgefüllt.</t>
  </si>
  <si>
    <t>Dokumente</t>
  </si>
  <si>
    <t>Eingaben</t>
  </si>
  <si>
    <t>Ausgaben</t>
  </si>
  <si>
    <t>Geprüft / freigegeben</t>
  </si>
  <si>
    <t>Nicht vorgelegt</t>
  </si>
  <si>
    <t>ID</t>
  </si>
  <si>
    <t>Art</t>
  </si>
  <si>
    <t>Normbegriff / Dokument</t>
  </si>
  <si>
    <t>Funktion / erwarteter Inhalt</t>
  </si>
  <si>
    <t>Bezug Prüfpunkt</t>
  </si>
  <si>
    <t>Normreferenz</t>
  </si>
  <si>
    <t>Dokumentkennung / Referenz</t>
  </si>
  <si>
    <t>Version / Index</t>
  </si>
  <si>
    <t>Status</t>
  </si>
  <si>
    <t>Verantwortlich</t>
  </si>
  <si>
    <t>Ablageort / Link</t>
  </si>
  <si>
    <t>D01</t>
  </si>
  <si>
    <t>Eingabe</t>
  </si>
  <si>
    <t>Spezifikation der Anforderungen an die Sicherheit der Software (SSRS)</t>
  </si>
  <si>
    <t>Bezugsgrundlage für alle geplanten Validierungstätigkeiten und Akzeptanzkriterien.</t>
  </si>
  <si>
    <t>Z1, 1–5</t>
  </si>
  <si>
    <t>IEC 61508-3, 7.3.1 und 7.3.2</t>
  </si>
  <si>
    <t>D02</t>
  </si>
  <si>
    <t>Ausgabe</t>
  </si>
  <si>
    <t>Validierungsplan für die Softwareaspekte der Systemsicherheit (SSVP)</t>
  </si>
  <si>
    <t>Fasst Zeitpunkt, Personen, Betriebsarten, Methoden, Umgebung, Kriterien und Ergebnisbewertung zusammen.</t>
  </si>
  <si>
    <t>IEC 61508-3, 7.3.2</t>
  </si>
  <si>
    <t>D03</t>
  </si>
  <si>
    <t>Validierungszeitplan und Meilensteine</t>
  </si>
  <si>
    <t>Legt fest, wann Validierungstätigkeiten und Freigabeentscheidungen stattfinden.</t>
  </si>
  <si>
    <t>IEC 61508-3, 7.3.2.2 a)</t>
  </si>
  <si>
    <t>D04</t>
  </si>
  <si>
    <t>Rollen-, Verantwortungs- und Kompetenzzuordnung</t>
  </si>
  <si>
    <t>Bestimmt Personen, Unabhängigkeit, Aufgaben und erforderliche Anwesenheit der beurteilenden Person.</t>
  </si>
  <si>
    <t>2, 4</t>
  </si>
  <si>
    <t>IEC 61508-3, 7.3.2.2 b) und 7.3.2.4</t>
  </si>
  <si>
    <t>D05</t>
  </si>
  <si>
    <t>Validierungsszenarien für Betriebsarten und anormale Zustände</t>
  </si>
  <si>
    <t>Deckt Vorbereitung, Start, Automatik, Handbetrieb, Abschaltung, Instandhaltung und Fehlbedienung ab.</t>
  </si>
  <si>
    <t>IEC 61508-3, 7.3.2.2 c), d)</t>
  </si>
  <si>
    <t>D06</t>
  </si>
  <si>
    <t>Festgelegte Software- und Systemkonfiguration für die Validierung</t>
  </si>
  <si>
    <t>Kennzeichnet Softwareversion, Hardware, Daten, Schnittstellen und Betriebsart der Zielkonfiguration.</t>
  </si>
  <si>
    <t>IEC 61508-3, 7.3.2.2 d), g)</t>
  </si>
  <si>
    <t>D07</t>
  </si>
  <si>
    <t>Validierungsmethoden und -verfahren</t>
  </si>
  <si>
    <t>Legt Test, Analyse, manuelle oder automatisierte sowie statische, dynamische, analytische oder statistische Verfahren fest.</t>
  </si>
  <si>
    <t>2, 3</t>
  </si>
  <si>
    <t>IEC 61508-3, 7.3.2.2 e), f) und 7.3.2.3</t>
  </si>
  <si>
    <t>D08</t>
  </si>
  <si>
    <t>Validierungsumgebung, Werkzeuge und Ressourcen</t>
  </si>
  <si>
    <t>Beschreibt Umgebungsbedingungen, Testmittel, Werkzeuge, Hilfssoftware und Ressourcen.</t>
  </si>
  <si>
    <t>IEC 61508-3, 7.3.2.2 g)</t>
  </si>
  <si>
    <t>D09</t>
  </si>
  <si>
    <t>Kriterien für bestanden und nicht bestanden</t>
  </si>
  <si>
    <t>Definiert objektive oder fachlich begründete Annahmekriterien und Ergebnisbewertung.</t>
  </si>
  <si>
    <t>2, 3, 5</t>
  </si>
  <si>
    <t>IEC 61508-3, 7.3.2.2 h), i), 7.3.2.3 d) und 7.3.2.5</t>
  </si>
  <si>
    <t>D10</t>
  </si>
  <si>
    <t>Spezifikation der Eingangs- und Ausgangssignale</t>
  </si>
  <si>
    <t>Legt Reihenfolge, Werte und Toleranzen der erforderlichen Eingänge und erwarteten Ausgänge fest.</t>
  </si>
  <si>
    <t>IEC 61508-3, 7.3.2.5 a), b)</t>
  </si>
  <si>
    <t>D11</t>
  </si>
  <si>
    <t>Abstimmung mit der beurteilenden Person</t>
  </si>
  <si>
    <t>Dokumentiert vereinbarten Umfang, Inhalt und erforderliche Anwesenheit während der Tests.</t>
  </si>
  <si>
    <t>IEC 61508-3, 7.3.2.4</t>
  </si>
  <si>
    <t>D12</t>
  </si>
  <si>
    <t>Begründung der gewählten Validierungsvorgehensweise</t>
  </si>
  <si>
    <t>Begründet Methodenmix, Unabhängigkeit, Abdeckung und Akzeptanzkriterien.</t>
  </si>
  <si>
    <t>IEC 61508-3, 7.3.2.3</t>
  </si>
  <si>
    <t>Review-Ergebnisse und durchzuführende Maßnahmen</t>
  </si>
  <si>
    <t>A = Aufgabe · I = Information · B = Beschluss. Der Bezug zum Prüfpunkt ermöglicht die direkte Rückverfolgung.</t>
  </si>
  <si>
    <t>Typ</t>
  </si>
  <si>
    <t>Review-Ergebnis / Maßnahme</t>
  </si>
  <si>
    <t>Fällig am</t>
  </si>
  <si>
    <t>M-01</t>
  </si>
  <si>
    <t>Offen</t>
  </si>
  <si>
    <t>M-02</t>
  </si>
  <si>
    <t>M-03</t>
  </si>
  <si>
    <t>M-04</t>
  </si>
  <si>
    <t>M-05</t>
  </si>
  <si>
    <t>M-06</t>
  </si>
  <si>
    <t>M-07</t>
  </si>
  <si>
    <t>M-08</t>
  </si>
  <si>
    <t>M-09</t>
  </si>
  <si>
    <t>M-10</t>
  </si>
  <si>
    <t>M-11</t>
  </si>
  <si>
    <t>M-12</t>
  </si>
  <si>
    <t>M-13</t>
  </si>
  <si>
    <t>M-14</t>
  </si>
  <si>
    <t>M-15</t>
  </si>
  <si>
    <t>M-16</t>
  </si>
  <si>
    <t>M-17</t>
  </si>
  <si>
    <t>M-18</t>
  </si>
  <si>
    <t>M-19</t>
  </si>
  <si>
    <t>M-20</t>
  </si>
  <si>
    <t>Legende und Anwendungshinweise</t>
  </si>
  <si>
    <t>Empfehlungsgrade nach IEC 61508</t>
  </si>
  <si>
    <t>Kennzeichen</t>
  </si>
  <si>
    <t>Bedeutung</t>
  </si>
  <si>
    <t>Anwendung im Review</t>
  </si>
  <si>
    <t>Geltungsbereich</t>
  </si>
  <si>
    <t>++</t>
  </si>
  <si>
    <t>Für diesen SIL besonders empfohlen</t>
  </si>
  <si>
    <t>Bevorzugt anzuwenden; Nichtanwendung nachvollziehbar begründen.</t>
  </si>
  <si>
    <t>SIL 1 bis SIL 3 gemäß Tabelle A.9</t>
  </si>
  <si>
    <t>+</t>
  </si>
  <si>
    <t>Für diesen SIL empfohlen</t>
  </si>
  <si>
    <t>Anwendung einplanen oder eine geeignete Alternative begründen.</t>
  </si>
  <si>
    <t>O</t>
  </si>
  <si>
    <t>Keine Empfehlung für oder gegen die Anwendung</t>
  </si>
  <si>
    <t>Einsatz projektspezifisch bewerten und dokumentieren.</t>
  </si>
  <si>
    <t>--</t>
  </si>
  <si>
    <t>Für diesen SIL nicht empfohlen</t>
  </si>
  <si>
    <t>Nur mit belastbarer Begründung und geeigneten zusätzlichen Maßnahmen einsetzen.</t>
  </si>
  <si>
    <t>Arbeitsweise</t>
  </si>
  <si>
    <t>Schritt</t>
  </si>
  <si>
    <t>Vorgehen</t>
  </si>
  <si>
    <t>Dokumentation</t>
  </si>
  <si>
    <t>Hinweis</t>
  </si>
  <si>
    <t>Reviewdaten auf dem Blatt „Übersicht“ ausfüllen.</t>
  </si>
  <si>
    <t>Projekt, Dokument, SIL, Teilnehmer und Termin erfassen.</t>
  </si>
  <si>
    <t>Gelbe Zellen sind Eingabefelder.</t>
  </si>
  <si>
    <t>Eingabe- und Ausgabedokumente registrieren.</t>
  </si>
  <si>
    <t>Dokumentkennung, Version, Status, Verantwortlichen und Ablageort eintragen.</t>
  </si>
  <si>
    <t>Die IDs D01 bis D12 sind für Kapitel 7.3 vorbereitet.</t>
  </si>
  <si>
    <t>Jeden Prüfpunkt auf dem Blatt „Review 7.3“ bewerten.</t>
  </si>
  <si>
    <t>Prüfergebnis konkret formulieren und die zugehörigen Dokument-IDs prüfen.</t>
  </si>
  <si>
    <t>Status / OK über das Auswahlfeld setzen.</t>
  </si>
  <si>
    <t>Abweichungen oder Beschlüsse auf „Maßnahmen“ übernehmen.</t>
  </si>
  <si>
    <t>Prüfpunkt, Verantwortlichen, Fälligkeit und Status eintragen.</t>
  </si>
  <si>
    <t>IDs M-01 bis M-20 sind vorbereitet.</t>
  </si>
  <si>
    <t>Verfahren aus „Anhang 7.3“ SIL-bezogen berücksichtigen.</t>
  </si>
  <si>
    <t>Erläuterungen und Normreferenzen als Prüfhilfe verwenden.</t>
  </si>
  <si>
    <t>SIL 4 ist nicht Bestandteil dieser Arbeitsmappe.</t>
  </si>
  <si>
    <t>6</t>
  </si>
  <si>
    <t>Gesamtergebnis auf „Übersicht“ festlegen.</t>
  </si>
  <si>
    <t>Ergebnis, Begründung und Zusammenfassung eintragen.</t>
  </si>
  <si>
    <t>Fortschrittskennzahlen werden automatisch berechnet.</t>
  </si>
  <si>
    <t>7</t>
  </si>
  <si>
    <t>Teilnehmer auf „Unterschriften“ dokumentieren.</t>
  </si>
  <si>
    <t>Name, Funktion, Datum und Bestätigung eintragen.</t>
  </si>
  <si>
    <t>Kann digital oder nach Ausdruck verwendet werden.</t>
  </si>
  <si>
    <t>Quelle: IEC61508-3_Kap_7.3_Reviewprotokoll_Endfassung_2026-08-05.docx</t>
  </si>
  <si>
    <t>Anhang Formblatt Unterschriften</t>
  </si>
  <si>
    <t>Name, Vorname, Abteilung, Funktion</t>
  </si>
  <si>
    <t>Datum</t>
  </si>
  <si>
    <t>Unterschrift / Bestätigung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</si>
</sst>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12">
    <font>
      <sz val="11"/>
      <name val="Carlito"/>
    </font>
    <font>
      <sz val="10"/>
      <color rgb="FF222222"/>
      <name val="Aptos"/>
    </font>
    <font>
      <b/>
      <sz val="18"/>
      <color rgb="FFFFFFFF"/>
      <name val="Aptos Display"/>
    </font>
    <font>
      <i/>
      <sz val="10"/>
      <color rgb="FF17365D"/>
      <name val="Aptos"/>
    </font>
    <font>
      <b/>
      <sz val="11"/>
      <color rgb="FFFFFFFF"/>
      <name val="Aptos"/>
    </font>
    <font>
      <b/>
      <sz val="10"/>
      <color rgb="FF17365D"/>
      <name val="Aptos"/>
    </font>
    <font>
      <b/>
      <sz val="10"/>
      <color rgb="FFFFFFFF"/>
      <name val="Aptos"/>
    </font>
    <font>
      <b/>
      <sz val="14"/>
      <color rgb="FF17365D"/>
      <name val="Aptos"/>
    </font>
    <font>
      <b/>
      <sz val="11"/>
      <color rgb="FF17365D"/>
      <name val="Aptos"/>
    </font>
    <font>
      <b/>
      <sz val="12"/>
      <color rgb="FF17365D"/>
      <name val="Aptos"/>
    </font>
    <font>
      <i/>
      <sz val="9"/>
      <color rgb="FF595959"/>
      <name val="Aptos"/>
    </font>
    <font>
      <sz val="11"/>
      <name val="Carlito"/>
    </font>
  </fonts>
  <fills count="13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EAF3F8"/>
      </patternFill>
    </fill>
    <fill>
      <patternFill patternType="solid">
        <fgColor rgb="FFFFF2CC"/>
      </patternFill>
    </fill>
    <fill>
      <patternFill patternType="solid">
        <fgColor rgb="FF5B9BD5"/>
      </patternFill>
    </fill>
    <fill>
      <patternFill patternType="solid">
        <fgColor rgb="FFFFFFFF"/>
      </patternFill>
    </fill>
    <fill>
      <patternFill patternType="solid">
        <fgColor rgb="FFE7E6E6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EAF3F8"/>
      </patternFill>
    </fill>
  </fills>
  <borders count="3">
    <border>
      <left/>
      <right/>
      <top/>
      <bottom/>
      <diagonal/>
    </border>
    <border>
      <left style="thin">
        <color rgb="FFB4C6D7"/>
      </left>
      <right style="thin">
        <color rgb="FFB4C6D7"/>
      </right>
      <top style="thin">
        <color rgb="FFB4C6D7"/>
      </top>
      <bottom style="thin">
        <color rgb="FFB4C6D7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2">
    <xf numFmtId="0" fontId="0" fillId="0" borderId="0"/>
    <xf numFmtId="0" fontId="11" fillId="0" borderId="0"/>
  </cellStyleXfs>
  <cellXfs count="30">
    <xf numFmtId="0" fontId="0" fillId="0" borderId="0" xfId="0"/>
    <xf numFmtId="0" fontId="1" fillId="0" borderId="0" xfId="1" applyFont="1" applyAlignment="1">
      <alignment vertical="top"/>
    </xf>
    <xf numFmtId="0" fontId="5" fillId="5" borderId="1" xfId="1" applyFont="1" applyFill="1" applyBorder="1" applyAlignment="1">
      <alignment vertical="center"/>
    </xf>
    <xf numFmtId="0" fontId="1" fillId="6" borderId="1" xfId="1" applyFont="1" applyFill="1" applyBorder="1" applyAlignment="1">
      <alignment vertical="top" wrapText="1"/>
    </xf>
    <xf numFmtId="164" fontId="1" fillId="6" borderId="1" xfId="1" applyNumberFormat="1" applyFont="1" applyFill="1" applyBorder="1" applyAlignment="1">
      <alignment vertical="top" wrapText="1"/>
    </xf>
    <xf numFmtId="0" fontId="6" fillId="7" borderId="2" xfId="1" applyFont="1" applyFill="1" applyBorder="1" applyAlignment="1">
      <alignment horizontal="center" vertical="center"/>
    </xf>
    <xf numFmtId="0" fontId="7" fillId="5" borderId="1" xfId="1" applyFont="1" applyFill="1" applyBorder="1" applyAlignment="1">
      <alignment horizontal="center" vertical="center"/>
    </xf>
    <xf numFmtId="9" fontId="7" fillId="5" borderId="1" xfId="1" applyNumberFormat="1" applyFont="1" applyFill="1" applyBorder="1" applyAlignment="1">
      <alignment horizontal="center" vertical="center"/>
    </xf>
    <xf numFmtId="0" fontId="4" fillId="4" borderId="2" xfId="1" applyFont="1" applyFill="1" applyBorder="1" applyAlignment="1">
      <alignment vertical="center"/>
    </xf>
    <xf numFmtId="0" fontId="1" fillId="0" borderId="0" xfId="1" applyFont="1" applyAlignment="1">
      <alignment vertical="top" wrapText="1"/>
    </xf>
    <xf numFmtId="0" fontId="1" fillId="0" borderId="1" xfId="1" applyFont="1" applyBorder="1" applyAlignment="1">
      <alignment vertical="top" wrapText="1"/>
    </xf>
    <xf numFmtId="0" fontId="1" fillId="8" borderId="1" xfId="1" applyFont="1" applyFill="1" applyBorder="1" applyAlignment="1">
      <alignment vertical="top" wrapText="1"/>
    </xf>
    <xf numFmtId="0" fontId="1" fillId="5" borderId="1" xfId="1" applyFont="1" applyFill="1" applyBorder="1" applyAlignment="1">
      <alignment vertical="top" wrapText="1"/>
    </xf>
    <xf numFmtId="0" fontId="1" fillId="8" borderId="1" xfId="1" applyFont="1" applyFill="1" applyBorder="1" applyAlignment="1">
      <alignment horizontal="center" vertical="top" wrapText="1"/>
    </xf>
    <xf numFmtId="0" fontId="1" fillId="6" borderId="1" xfId="1" applyFont="1" applyFill="1" applyBorder="1" applyAlignment="1">
      <alignment horizontal="center" vertical="top" wrapText="1"/>
    </xf>
    <xf numFmtId="0" fontId="8" fillId="5" borderId="1" xfId="1" applyFont="1" applyFill="1" applyBorder="1" applyAlignment="1">
      <alignment horizontal="center" vertical="center"/>
    </xf>
    <xf numFmtId="0" fontId="9" fillId="0" borderId="0" xfId="1" applyFont="1" applyAlignment="1">
      <alignment horizontal="center" vertical="top" wrapText="1"/>
    </xf>
    <xf numFmtId="0" fontId="1" fillId="10" borderId="1" xfId="1" applyFont="1" applyFill="1" applyBorder="1" applyAlignment="1">
      <alignment horizontal="center" vertical="top" wrapText="1"/>
    </xf>
    <xf numFmtId="0" fontId="1" fillId="10" borderId="1" xfId="1" applyFont="1" applyFill="1" applyBorder="1" applyAlignment="1">
      <alignment vertical="top" wrapText="1"/>
    </xf>
    <xf numFmtId="0" fontId="1" fillId="11" borderId="1" xfId="1" applyFont="1" applyFill="1" applyBorder="1" applyAlignment="1">
      <alignment vertical="top" wrapText="1"/>
    </xf>
    <xf numFmtId="0" fontId="1" fillId="12" borderId="1" xfId="1" applyFont="1" applyFill="1" applyBorder="1" applyAlignment="1">
      <alignment vertical="top" wrapText="1"/>
    </xf>
    <xf numFmtId="0" fontId="1" fillId="11" borderId="1" xfId="1" applyFont="1" applyFill="1" applyBorder="1" applyAlignment="1">
      <alignment horizontal="center" vertical="top" wrapText="1"/>
    </xf>
    <xf numFmtId="0" fontId="2" fillId="2" borderId="0" xfId="1" applyFont="1" applyFill="1" applyAlignment="1">
      <alignment horizontal="left" vertical="center"/>
    </xf>
    <xf numFmtId="0" fontId="3" fillId="3" borderId="0" xfId="1" applyFont="1" applyFill="1" applyAlignment="1">
      <alignment vertical="center"/>
    </xf>
    <xf numFmtId="0" fontId="4" fillId="4" borderId="0" xfId="1" applyFont="1" applyFill="1" applyAlignment="1">
      <alignment vertical="center"/>
    </xf>
    <xf numFmtId="0" fontId="1" fillId="6" borderId="1" xfId="1" applyFont="1" applyFill="1" applyBorder="1" applyAlignment="1">
      <alignment vertical="top" wrapText="1"/>
    </xf>
    <xf numFmtId="164" fontId="1" fillId="6" borderId="1" xfId="1" applyNumberFormat="1" applyFont="1" applyFill="1" applyBorder="1" applyAlignment="1">
      <alignment vertical="top" wrapText="1"/>
    </xf>
    <xf numFmtId="0" fontId="3" fillId="3" borderId="0" xfId="1" applyFont="1" applyFill="1" applyAlignment="1">
      <alignment vertical="center" wrapText="1"/>
    </xf>
    <xf numFmtId="0" fontId="3" fillId="3" borderId="0" xfId="1" applyFont="1" applyFill="1" applyAlignment="1">
      <alignment vertical="top"/>
    </xf>
    <xf numFmtId="0" fontId="10" fillId="9" borderId="0" xfId="1" applyFont="1" applyFill="1" applyAlignment="1">
      <alignment vertical="top"/>
    </xf>
  </cellXfs>
  <cellStyles count="2">
    <cellStyle name="Normal" xfId="1" xr:uid="{00000000-0005-0000-0000-000000000000}"/>
    <cellStyle name="Standard" xfId="0" builtinId="0"/>
  </cellStyles>
  <dxfs count="16">
    <dxf>
      <font>
        <color rgb="FF9C0006"/>
      </font>
      <fill>
        <patternFill>
          <bgColor rgb="FFF4CCCC"/>
        </patternFill>
      </fill>
    </dxf>
    <dxf>
      <font>
        <b/>
        <color rgb="FF215E21"/>
      </font>
      <fill>
        <patternFill>
          <bgColor rgb="FFC6E0B4"/>
        </patternFill>
      </fill>
    </dxf>
    <dxf>
      <font>
        <color rgb="FF9C0006"/>
      </font>
      <fill>
        <patternFill>
          <bgColor rgb="FFF4CCCC"/>
        </patternFill>
      </fill>
    </dxf>
    <dxf>
      <font>
        <b/>
        <color rgb="FF215E21"/>
      </font>
      <fill>
        <patternFill>
          <bgColor rgb="FFC6E0B4"/>
        </patternFill>
      </fill>
    </dxf>
    <dxf>
      <font>
        <b/>
        <color rgb="FF17365D"/>
      </font>
      <fill>
        <patternFill>
          <bgColor rgb="FFD9EAF7"/>
        </patternFill>
      </fill>
    </dxf>
    <dxf>
      <font>
        <b/>
        <color rgb="FF5F497A"/>
      </font>
      <fill>
        <patternFill>
          <bgColor rgb="FFE4DFEC"/>
        </patternFill>
      </fill>
    </dxf>
    <dxf>
      <font>
        <b/>
        <color rgb="FF215E21"/>
      </font>
      <fill>
        <patternFill>
          <bgColor rgb="FFC6E0B4"/>
        </patternFill>
      </fill>
    </dxf>
    <dxf>
      <font>
        <b/>
        <color rgb="FF17365D"/>
      </font>
      <fill>
        <patternFill>
          <bgColor rgb="FFD9EAF7"/>
        </patternFill>
      </fill>
    </dxf>
    <dxf>
      <font>
        <color rgb="FF17365D"/>
      </font>
      <fill>
        <patternFill>
          <bgColor rgb="FFD9EAF7"/>
        </patternFill>
      </fill>
    </dxf>
    <dxf>
      <font>
        <color rgb="FF595959"/>
      </font>
      <fill>
        <patternFill>
          <bgColor rgb="FFE7E6E6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215E21"/>
      </font>
      <fill>
        <patternFill>
          <bgColor rgb="FFC6E0B4"/>
        </patternFill>
      </fill>
    </dxf>
    <dxf>
      <font>
        <color rgb="FF17365D"/>
      </font>
      <fill>
        <patternFill patternType="solid">
          <bgColor rgb="FFD9EAF7"/>
        </patternFill>
      </fill>
    </dxf>
    <dxf>
      <font>
        <color rgb="FF595959"/>
      </font>
      <fill>
        <patternFill patternType="solid">
          <bgColor rgb="FFE7E6E6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215E21"/>
      </font>
      <fill>
        <patternFill patternType="solid">
          <bgColor rgb="FFC6E0B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0000000}" name="Reviewpunkte_7_3" displayName="Reviewpunkte_7_3" ref="A7:G13" totalsRowShown="0">
  <autoFilter ref="A7:G13" xr:uid="{00000000-0009-0000-0100-000008000000}"/>
  <tableColumns count="7">
    <tableColumn id="1" xr3:uid="{00000000-0010-0000-0000-000001000000}" name="Nr."/>
    <tableColumn id="2" xr3:uid="{00000000-0010-0000-0000-000002000000}" name="Normkapitel"/>
    <tableColumn id="3" xr3:uid="{00000000-0010-0000-0000-000003000000}" name="Prüffrage / Prüfkriterium"/>
    <tableColumn id="4" xr3:uid="{00000000-0010-0000-0000-000004000000}" name="Prüfergebnis"/>
    <tableColumn id="5" xr3:uid="{00000000-0010-0000-0000-000005000000}" name="Kommentar / Nachweis"/>
    <tableColumn id="6" xr3:uid="{00000000-0010-0000-0000-000006000000}" name="E/A-Dokumente (IDs)"/>
    <tableColumn id="7" xr3:uid="{00000000-0010-0000-0000-000007000000}" name="Status / OK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1000000}" name="Dokumentenregister_7_3" displayName="Dokumentenregister_7_3" ref="A7:K19" totalsRowShown="0">
  <autoFilter ref="A7:K19" xr:uid="{00000000-0009-0000-0100-000009000000}"/>
  <tableColumns count="11">
    <tableColumn id="1" xr3:uid="{00000000-0010-0000-0100-000001000000}" name="ID"/>
    <tableColumn id="2" xr3:uid="{00000000-0010-0000-0100-000002000000}" name="Art"/>
    <tableColumn id="3" xr3:uid="{00000000-0010-0000-0100-000003000000}" name="Normbegriff / Dokument"/>
    <tableColumn id="4" xr3:uid="{00000000-0010-0000-0100-000004000000}" name="Funktion / erwarteter Inhalt"/>
    <tableColumn id="5" xr3:uid="{00000000-0010-0000-0100-000005000000}" name="Bezug Prüfpunkt"/>
    <tableColumn id="6" xr3:uid="{00000000-0010-0000-0100-000006000000}" name="Normreferenz"/>
    <tableColumn id="7" xr3:uid="{00000000-0010-0000-0100-000007000000}" name="Dokumentkennung / Referenz"/>
    <tableColumn id="8" xr3:uid="{00000000-0010-0000-0100-000008000000}" name="Version / Index"/>
    <tableColumn id="9" xr3:uid="{00000000-0010-0000-0100-000009000000}" name="Status"/>
    <tableColumn id="10" xr3:uid="{00000000-0010-0000-0100-00000A000000}" name="Verantwortlich"/>
    <tableColumn id="11" xr3:uid="{00000000-0010-0000-0100-00000B000000}" name="Ablageort / Link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eviewMassnahmen" displayName="ReviewMassnahmen" ref="A5:G25" totalsRowShown="0">
  <autoFilter ref="A5:G25" xr:uid="{00000000-0009-0000-0100-000003000000}"/>
  <tableColumns count="7">
    <tableColumn id="1" xr3:uid="{00000000-0010-0000-0200-000001000000}" name="ID"/>
    <tableColumn id="2" xr3:uid="{00000000-0010-0000-0200-000002000000}" name="Typ"/>
    <tableColumn id="3" xr3:uid="{00000000-0010-0000-0200-000003000000}" name="Review-Ergebnis / Maßnahme"/>
    <tableColumn id="4" xr3:uid="{00000000-0010-0000-0200-000004000000}" name="Bezug Prüfpunkt"/>
    <tableColumn id="5" xr3:uid="{00000000-0010-0000-0200-000005000000}" name="Verantwortlich"/>
    <tableColumn id="6" xr3:uid="{00000000-0010-0000-0200-000006000000}" name="Fällig am"/>
    <tableColumn id="7" xr3:uid="{00000000-0010-0000-0200-000007000000}" name="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Empfehlungslegende" displayName="Empfehlungslegende" ref="A5:D9" totalsRowShown="0">
  <tableColumns count="4">
    <tableColumn id="1" xr3:uid="{00000000-0010-0000-0400-000001000000}" name="Kennzeichen"/>
    <tableColumn id="2" xr3:uid="{00000000-0010-0000-0400-000002000000}" name="Bedeutung"/>
    <tableColumn id="3" xr3:uid="{00000000-0010-0000-0400-000003000000}" name="Anwendung im Review"/>
    <tableColumn id="4" xr3:uid="{00000000-0010-0000-0400-000004000000}" name="Geltungsbereich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Arbeitsweise" displayName="Arbeitsweise" ref="A12:D19" totalsRowShown="0">
  <tableColumns count="4">
    <tableColumn id="1" xr3:uid="{00000000-0010-0000-0500-000001000000}" name="Schritt"/>
    <tableColumn id="2" xr3:uid="{00000000-0010-0000-0500-000002000000}" name="Vorgehen"/>
    <tableColumn id="3" xr3:uid="{00000000-0010-0000-0500-000003000000}" name="Dokumentation"/>
    <tableColumn id="4" xr3:uid="{00000000-0010-0000-0500-000004000000}" name="Hinwei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ReviewUnterschriften" displayName="ReviewUnterschriften" ref="A4:C11" totalsRowShown="0">
  <tableColumns count="3">
    <tableColumn id="1" xr3:uid="{00000000-0010-0000-0600-000001000000}" name="Name, Vorname, Abteilung, Funktion"/>
    <tableColumn id="2" xr3:uid="{00000000-0010-0000-0600-000002000000}" name="Datum"/>
    <tableColumn id="3" xr3:uid="{00000000-0010-0000-0600-000003000000}" name="Unterschrift / Bestätigu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"/>
  <sheetViews>
    <sheetView showGridLines="0" workbookViewId="0">
      <selection sqref="A1:H2"/>
    </sheetView>
  </sheetViews>
  <sheetFormatPr baseColWidth="10" defaultColWidth="9" defaultRowHeight="14.25"/>
  <cols>
    <col min="1" max="1" width="22" customWidth="1"/>
    <col min="2" max="4" width="14" customWidth="1"/>
    <col min="5" max="5" width="19" customWidth="1"/>
    <col min="6" max="8" width="14" customWidth="1"/>
  </cols>
  <sheetData>
    <row r="1" spans="1:8" ht="33.950000000000003" customHeight="1">
      <c r="A1" s="22" t="s">
        <v>0</v>
      </c>
      <c r="B1" s="22" t="s">
        <v>0</v>
      </c>
      <c r="C1" s="22" t="s">
        <v>0</v>
      </c>
      <c r="D1" s="22" t="s">
        <v>0</v>
      </c>
      <c r="E1" s="22" t="s">
        <v>0</v>
      </c>
      <c r="F1" s="22" t="s">
        <v>0</v>
      </c>
      <c r="G1" s="22" t="s">
        <v>0</v>
      </c>
      <c r="H1" s="22" t="s">
        <v>0</v>
      </c>
    </row>
    <row r="2" spans="1:8" ht="33.950000000000003" customHeight="1">
      <c r="A2" s="22" t="s">
        <v>0</v>
      </c>
      <c r="B2" s="22" t="s">
        <v>0</v>
      </c>
      <c r="C2" s="22" t="s">
        <v>0</v>
      </c>
      <c r="D2" s="22" t="s">
        <v>0</v>
      </c>
      <c r="E2" s="22" t="s">
        <v>0</v>
      </c>
      <c r="F2" s="22" t="s">
        <v>0</v>
      </c>
      <c r="G2" s="22" t="s">
        <v>0</v>
      </c>
      <c r="H2" s="22" t="s">
        <v>0</v>
      </c>
    </row>
    <row r="3" spans="1:8">
      <c r="A3" s="23" t="s">
        <v>1</v>
      </c>
      <c r="B3" s="23"/>
      <c r="C3" s="23"/>
      <c r="D3" s="23"/>
      <c r="E3" s="23"/>
      <c r="F3" s="23"/>
      <c r="G3" s="23"/>
      <c r="H3" s="23"/>
    </row>
    <row r="4" spans="1:8">
      <c r="A4" s="1"/>
      <c r="B4" s="1"/>
      <c r="C4" s="1"/>
      <c r="D4" s="1"/>
      <c r="E4" s="1"/>
      <c r="F4" s="1"/>
      <c r="G4" s="1"/>
      <c r="H4" s="1"/>
    </row>
    <row r="5" spans="1:8" ht="24" customHeight="1">
      <c r="A5" s="24" t="s">
        <v>2</v>
      </c>
      <c r="B5" s="24" t="s">
        <v>2</v>
      </c>
      <c r="C5" s="24" t="s">
        <v>2</v>
      </c>
      <c r="D5" s="24" t="s">
        <v>2</v>
      </c>
      <c r="E5" s="24" t="s">
        <v>2</v>
      </c>
      <c r="F5" s="24" t="s">
        <v>2</v>
      </c>
      <c r="G5" s="24" t="s">
        <v>2</v>
      </c>
      <c r="H5" s="24" t="s">
        <v>2</v>
      </c>
    </row>
    <row r="6" spans="1:8">
      <c r="A6" s="2" t="s">
        <v>3</v>
      </c>
      <c r="B6" s="25"/>
      <c r="C6" s="25"/>
      <c r="D6" s="25"/>
      <c r="E6" s="2" t="s">
        <v>4</v>
      </c>
      <c r="F6" s="25"/>
      <c r="G6" s="25"/>
      <c r="H6" s="25"/>
    </row>
    <row r="7" spans="1:8">
      <c r="A7" s="2" t="s">
        <v>5</v>
      </c>
      <c r="B7" s="25"/>
      <c r="C7" s="25"/>
      <c r="D7" s="25"/>
      <c r="E7" s="2" t="s">
        <v>6</v>
      </c>
      <c r="F7" s="25"/>
      <c r="G7" s="25"/>
      <c r="H7" s="25"/>
    </row>
    <row r="8" spans="1:8">
      <c r="A8" s="2" t="s">
        <v>7</v>
      </c>
      <c r="B8" s="25"/>
      <c r="C8" s="25"/>
      <c r="D8" s="25"/>
      <c r="E8" s="2" t="s">
        <v>8</v>
      </c>
      <c r="F8" s="25" t="s">
        <v>9</v>
      </c>
      <c r="G8" s="25" t="s">
        <v>9</v>
      </c>
      <c r="H8" s="25" t="s">
        <v>9</v>
      </c>
    </row>
    <row r="9" spans="1:8">
      <c r="A9" s="2" t="s">
        <v>10</v>
      </c>
      <c r="B9" s="25"/>
      <c r="C9" s="25"/>
      <c r="D9" s="25"/>
      <c r="E9" s="2" t="s">
        <v>11</v>
      </c>
      <c r="F9" s="26"/>
      <c r="G9" s="26"/>
      <c r="H9" s="26"/>
    </row>
    <row r="10" spans="1:8">
      <c r="A10" s="2" t="s">
        <v>12</v>
      </c>
      <c r="B10" s="25"/>
      <c r="C10" s="25"/>
      <c r="D10" s="25"/>
      <c r="E10" s="2" t="s">
        <v>13</v>
      </c>
      <c r="F10" s="25"/>
      <c r="G10" s="25"/>
      <c r="H10" s="25"/>
    </row>
    <row r="11" spans="1:8">
      <c r="A11" s="1"/>
      <c r="B11" s="1"/>
      <c r="C11" s="1"/>
      <c r="D11" s="1"/>
      <c r="E11" s="1"/>
      <c r="F11" s="1"/>
      <c r="G11" s="1"/>
      <c r="H11" s="1"/>
    </row>
    <row r="12" spans="1:8" ht="24" customHeight="1">
      <c r="A12" s="24" t="s">
        <v>14</v>
      </c>
      <c r="B12" s="24" t="s">
        <v>14</v>
      </c>
      <c r="C12" s="24" t="s">
        <v>14</v>
      </c>
      <c r="D12" s="24" t="s">
        <v>14</v>
      </c>
      <c r="E12" s="24" t="s">
        <v>14</v>
      </c>
      <c r="F12" s="24" t="s">
        <v>14</v>
      </c>
      <c r="G12" s="24" t="s">
        <v>14</v>
      </c>
      <c r="H12" s="24" t="s">
        <v>14</v>
      </c>
    </row>
    <row r="13" spans="1:8">
      <c r="A13" s="2" t="s">
        <v>15</v>
      </c>
      <c r="B13" s="25"/>
      <c r="C13" s="25"/>
      <c r="D13" s="25"/>
      <c r="E13" s="25"/>
      <c r="F13" s="25"/>
      <c r="G13" s="25"/>
      <c r="H13" s="25"/>
    </row>
    <row r="14" spans="1:8">
      <c r="A14" s="2" t="s">
        <v>16</v>
      </c>
      <c r="B14" s="25"/>
      <c r="C14" s="25"/>
      <c r="D14" s="25"/>
      <c r="E14" s="25"/>
      <c r="F14" s="25"/>
      <c r="G14" s="25"/>
      <c r="H14" s="25"/>
    </row>
    <row r="15" spans="1:8">
      <c r="A15" s="2" t="s">
        <v>17</v>
      </c>
      <c r="B15" s="25"/>
      <c r="C15" s="25"/>
      <c r="D15" s="25"/>
      <c r="E15" s="25"/>
      <c r="F15" s="25"/>
      <c r="G15" s="25"/>
      <c r="H15" s="25"/>
    </row>
    <row r="16" spans="1:8">
      <c r="A16" s="2" t="s">
        <v>18</v>
      </c>
      <c r="B16" s="25"/>
      <c r="C16" s="25"/>
      <c r="D16" s="25"/>
      <c r="E16" s="25"/>
      <c r="F16" s="25"/>
      <c r="G16" s="25"/>
      <c r="H16" s="25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 ht="24" customHeight="1">
      <c r="A18" s="24" t="s">
        <v>19</v>
      </c>
      <c r="B18" s="24" t="s">
        <v>19</v>
      </c>
      <c r="C18" s="24" t="s">
        <v>19</v>
      </c>
      <c r="D18" s="24" t="s">
        <v>19</v>
      </c>
      <c r="E18" s="24" t="s">
        <v>19</v>
      </c>
      <c r="F18" s="24" t="s">
        <v>19</v>
      </c>
      <c r="G18" s="24" t="s">
        <v>19</v>
      </c>
      <c r="H18" s="24" t="s">
        <v>19</v>
      </c>
    </row>
    <row r="19" spans="1:8">
      <c r="A19" s="5" t="s">
        <v>20</v>
      </c>
      <c r="B19" s="5"/>
      <c r="C19" s="5" t="s">
        <v>21</v>
      </c>
      <c r="D19" s="5"/>
      <c r="E19" s="5" t="s">
        <v>22</v>
      </c>
      <c r="F19" s="5"/>
      <c r="G19" s="5" t="s">
        <v>23</v>
      </c>
      <c r="H19" s="5" t="s">
        <v>24</v>
      </c>
    </row>
    <row r="20" spans="1:8" ht="18.75">
      <c r="A20" s="6">
        <f>COUNTA('Review 7.3'!B8:B13)</f>
        <v>6</v>
      </c>
      <c r="B20" s="6"/>
      <c r="C20" s="6">
        <f>COUNTIF('Review 7.3'!G8:G13,"OK")</f>
        <v>0</v>
      </c>
      <c r="D20" s="6"/>
      <c r="E20" s="6">
        <f>COUNTIF('Review 7.3'!G8:G13,"Nicht OK")</f>
        <v>0</v>
      </c>
      <c r="F20" s="6"/>
      <c r="G20" s="6">
        <f>COUNTIF('Review 7.3'!G8:G13,"Nicht geprüft")</f>
        <v>6</v>
      </c>
      <c r="H20" s="7">
        <f>IF(A20=0,0,(C20+COUNTIF('Review 7.3'!G8:G13,"n. a."))/A20)</f>
        <v>0</v>
      </c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2" t="s">
        <v>25</v>
      </c>
      <c r="B22" s="25"/>
      <c r="C22" s="25"/>
      <c r="D22" s="25"/>
      <c r="E22" s="25"/>
      <c r="F22" s="25"/>
      <c r="G22" s="25"/>
      <c r="H22" s="25"/>
    </row>
    <row r="23" spans="1:8" ht="27.95" customHeight="1">
      <c r="A23" s="2" t="s">
        <v>26</v>
      </c>
      <c r="B23" s="25"/>
      <c r="C23" s="25"/>
      <c r="D23" s="25"/>
      <c r="E23" s="25"/>
      <c r="F23" s="25"/>
      <c r="G23" s="25"/>
      <c r="H23" s="25"/>
    </row>
    <row r="24" spans="1:8" ht="27.95" customHeight="1">
      <c r="A24" s="1"/>
      <c r="B24" s="25"/>
      <c r="C24" s="25"/>
      <c r="D24" s="25"/>
      <c r="E24" s="25"/>
      <c r="F24" s="25"/>
      <c r="G24" s="25"/>
      <c r="H24" s="25"/>
    </row>
    <row r="25" spans="1:8" ht="27.95" customHeight="1">
      <c r="A25" s="1"/>
      <c r="B25" s="25"/>
      <c r="C25" s="25"/>
      <c r="D25" s="25"/>
      <c r="E25" s="25"/>
      <c r="F25" s="25"/>
      <c r="G25" s="25"/>
      <c r="H25" s="25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 ht="26.1" customHeight="1">
      <c r="A27" s="2" t="s">
        <v>27</v>
      </c>
      <c r="B27" s="25" t="s">
        <v>28</v>
      </c>
      <c r="C27" s="25" t="s">
        <v>28</v>
      </c>
      <c r="D27" s="25" t="s">
        <v>28</v>
      </c>
      <c r="E27" s="25" t="s">
        <v>28</v>
      </c>
      <c r="F27" s="25" t="s">
        <v>28</v>
      </c>
      <c r="G27" s="25" t="s">
        <v>28</v>
      </c>
      <c r="H27" s="25" t="s">
        <v>28</v>
      </c>
    </row>
    <row r="28" spans="1:8" ht="26.1" customHeight="1">
      <c r="A28" s="1"/>
      <c r="B28" s="25" t="s">
        <v>28</v>
      </c>
      <c r="C28" s="25" t="s">
        <v>28</v>
      </c>
      <c r="D28" s="25" t="s">
        <v>28</v>
      </c>
      <c r="E28" s="25" t="s">
        <v>28</v>
      </c>
      <c r="F28" s="25" t="s">
        <v>28</v>
      </c>
      <c r="G28" s="25" t="s">
        <v>28</v>
      </c>
      <c r="H28" s="25" t="s">
        <v>28</v>
      </c>
    </row>
    <row r="29" spans="1:8" ht="26.1" customHeight="1">
      <c r="A29" s="1"/>
      <c r="B29" s="25" t="s">
        <v>28</v>
      </c>
      <c r="C29" s="25" t="s">
        <v>28</v>
      </c>
      <c r="D29" s="25" t="s">
        <v>28</v>
      </c>
      <c r="E29" s="25" t="s">
        <v>28</v>
      </c>
      <c r="F29" s="25" t="s">
        <v>28</v>
      </c>
      <c r="G29" s="25" t="s">
        <v>28</v>
      </c>
      <c r="H29" s="25" t="s">
        <v>28</v>
      </c>
    </row>
    <row r="30" spans="1:8" ht="26.1" customHeight="1">
      <c r="A30" s="1"/>
      <c r="B30" s="25" t="s">
        <v>28</v>
      </c>
      <c r="C30" s="25" t="s">
        <v>28</v>
      </c>
      <c r="D30" s="25" t="s">
        <v>28</v>
      </c>
      <c r="E30" s="25" t="s">
        <v>28</v>
      </c>
      <c r="F30" s="25" t="s">
        <v>28</v>
      </c>
      <c r="G30" s="25" t="s">
        <v>28</v>
      </c>
      <c r="H30" s="25" t="s">
        <v>28</v>
      </c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</sheetData>
  <mergeCells count="22">
    <mergeCell ref="B27:H30"/>
    <mergeCell ref="B15:H15"/>
    <mergeCell ref="B16:H16"/>
    <mergeCell ref="A18:H18"/>
    <mergeCell ref="B22:H22"/>
    <mergeCell ref="B23:H25"/>
    <mergeCell ref="B10:D10"/>
    <mergeCell ref="F10:H10"/>
    <mergeCell ref="A12:H12"/>
    <mergeCell ref="B13:H13"/>
    <mergeCell ref="B14:H14"/>
    <mergeCell ref="B7:D7"/>
    <mergeCell ref="F7:H7"/>
    <mergeCell ref="B8:D8"/>
    <mergeCell ref="F8:H8"/>
    <mergeCell ref="B9:D9"/>
    <mergeCell ref="F9:H9"/>
    <mergeCell ref="A1:H2"/>
    <mergeCell ref="A3:H3"/>
    <mergeCell ref="A5:H5"/>
    <mergeCell ref="B6:D6"/>
    <mergeCell ref="F6:H6"/>
  </mergeCells>
  <dataValidations count="2">
    <dataValidation type="list" sqref="B8:D8" xr:uid="{00000000-0002-0000-0000-000000000000}">
      <formula1>"SIL 1,SIL 2,SIL 3"</formula1>
    </dataValidation>
    <dataValidation type="list" sqref="B22:H22" xr:uid="{00000000-0002-0000-0000-000001000000}">
      <formula1>"Dokument muss überarbeitet werden und kann danach freigegeben werden,Dokument muss überarbeitet werden und danach einem Review unterzogen werden,Dokument kann zum externen Review vorgelegt werden,Dokument kann freigegeben werden"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5"/>
  <sheetViews>
    <sheetView showGridLines="0" workbookViewId="0"/>
  </sheetViews>
  <sheetFormatPr baseColWidth="10" defaultColWidth="9" defaultRowHeight="14.25"/>
  <cols>
    <col min="1" max="1" width="8" customWidth="1"/>
    <col min="2" max="2" width="14" customWidth="1"/>
    <col min="3" max="3" width="72" customWidth="1"/>
    <col min="4" max="5" width="34" customWidth="1"/>
    <col min="6" max="6" width="25" customWidth="1"/>
    <col min="7" max="7" width="17" customWidth="1"/>
  </cols>
  <sheetData>
    <row r="1" spans="1:7" ht="33.950000000000003" customHeight="1">
      <c r="A1" s="22" t="s">
        <v>29</v>
      </c>
      <c r="B1" s="22" t="s">
        <v>29</v>
      </c>
      <c r="C1" s="22" t="s">
        <v>29</v>
      </c>
      <c r="D1" s="22" t="s">
        <v>29</v>
      </c>
      <c r="E1" s="22" t="s">
        <v>29</v>
      </c>
      <c r="F1" s="22" t="s">
        <v>29</v>
      </c>
      <c r="G1" s="22" t="s">
        <v>29</v>
      </c>
    </row>
    <row r="2" spans="1:7" ht="33.950000000000003" customHeight="1">
      <c r="A2" s="22" t="s">
        <v>29</v>
      </c>
      <c r="B2" s="22" t="s">
        <v>29</v>
      </c>
      <c r="C2" s="22" t="s">
        <v>29</v>
      </c>
      <c r="D2" s="22" t="s">
        <v>29</v>
      </c>
      <c r="E2" s="22" t="s">
        <v>29</v>
      </c>
      <c r="F2" s="22" t="s">
        <v>29</v>
      </c>
      <c r="G2" s="22" t="s">
        <v>29</v>
      </c>
    </row>
    <row r="3" spans="1:7">
      <c r="A3" s="27" t="s">
        <v>30</v>
      </c>
      <c r="B3" s="27"/>
      <c r="C3" s="27"/>
      <c r="D3" s="27"/>
      <c r="E3" s="27"/>
      <c r="F3" s="27"/>
      <c r="G3" s="27"/>
    </row>
    <row r="4" spans="1:7">
      <c r="A4" s="1"/>
      <c r="B4" s="1"/>
      <c r="C4" s="1"/>
      <c r="D4" s="1"/>
      <c r="E4" s="1"/>
      <c r="F4" s="1"/>
      <c r="G4" s="1"/>
    </row>
    <row r="5" spans="1:7" ht="15">
      <c r="A5" s="8" t="s">
        <v>31</v>
      </c>
      <c r="B5" s="8" t="s">
        <v>32</v>
      </c>
      <c r="C5" s="8" t="s">
        <v>33</v>
      </c>
      <c r="D5" s="8"/>
      <c r="E5" s="8"/>
      <c r="F5" s="8" t="s">
        <v>34</v>
      </c>
      <c r="G5" s="8" t="s">
        <v>35</v>
      </c>
    </row>
    <row r="6" spans="1:7">
      <c r="A6" s="1"/>
      <c r="B6" s="1"/>
      <c r="C6" s="1"/>
      <c r="D6" s="1"/>
      <c r="E6" s="1"/>
      <c r="F6" s="1"/>
      <c r="G6" s="1"/>
    </row>
    <row r="7" spans="1:7">
      <c r="A7" s="10" t="s">
        <v>36</v>
      </c>
      <c r="B7" s="10" t="s">
        <v>37</v>
      </c>
      <c r="C7" s="10" t="s">
        <v>38</v>
      </c>
      <c r="D7" s="10" t="s">
        <v>39</v>
      </c>
      <c r="E7" s="10" t="s">
        <v>40</v>
      </c>
      <c r="F7" s="10" t="s">
        <v>41</v>
      </c>
      <c r="G7" s="10" t="s">
        <v>35</v>
      </c>
    </row>
    <row r="8" spans="1:7" ht="72" customHeight="1">
      <c r="A8" s="17" t="s">
        <v>42</v>
      </c>
      <c r="B8" s="17" t="s">
        <v>43</v>
      </c>
      <c r="C8" s="18" t="s">
        <v>44</v>
      </c>
      <c r="D8" s="19"/>
      <c r="E8" s="19"/>
      <c r="F8" s="20" t="s">
        <v>45</v>
      </c>
      <c r="G8" s="21" t="s">
        <v>23</v>
      </c>
    </row>
    <row r="9" spans="1:7" ht="72" customHeight="1">
      <c r="A9" s="17" t="s">
        <v>46</v>
      </c>
      <c r="B9" s="17" t="s">
        <v>47</v>
      </c>
      <c r="C9" s="18" t="s">
        <v>48</v>
      </c>
      <c r="D9" s="19"/>
      <c r="E9" s="19"/>
      <c r="F9" s="20" t="s">
        <v>45</v>
      </c>
      <c r="G9" s="21" t="s">
        <v>23</v>
      </c>
    </row>
    <row r="10" spans="1:7" ht="240" customHeight="1">
      <c r="A10" s="17" t="s">
        <v>49</v>
      </c>
      <c r="B10" s="17" t="s">
        <v>50</v>
      </c>
      <c r="C10" s="18" t="s">
        <v>51</v>
      </c>
      <c r="D10" s="19"/>
      <c r="E10" s="19"/>
      <c r="F10" s="20" t="s">
        <v>52</v>
      </c>
      <c r="G10" s="21" t="s">
        <v>23</v>
      </c>
    </row>
    <row r="11" spans="1:7" ht="156.94999999999999" customHeight="1">
      <c r="A11" s="17" t="s">
        <v>53</v>
      </c>
      <c r="B11" s="17" t="s">
        <v>54</v>
      </c>
      <c r="C11" s="18" t="s">
        <v>55</v>
      </c>
      <c r="D11" s="19"/>
      <c r="E11" s="19"/>
      <c r="F11" s="20" t="s">
        <v>56</v>
      </c>
      <c r="G11" s="21" t="s">
        <v>23</v>
      </c>
    </row>
    <row r="12" spans="1:7" ht="72.95" customHeight="1">
      <c r="A12" s="17" t="s">
        <v>57</v>
      </c>
      <c r="B12" s="17" t="s">
        <v>58</v>
      </c>
      <c r="C12" s="18" t="s">
        <v>59</v>
      </c>
      <c r="D12" s="19"/>
      <c r="E12" s="19"/>
      <c r="F12" s="20" t="s">
        <v>60</v>
      </c>
      <c r="G12" s="21" t="s">
        <v>23</v>
      </c>
    </row>
    <row r="13" spans="1:7" ht="123.95" customHeight="1">
      <c r="A13" s="17" t="s">
        <v>61</v>
      </c>
      <c r="B13" s="17" t="s">
        <v>62</v>
      </c>
      <c r="C13" s="18" t="s">
        <v>63</v>
      </c>
      <c r="D13" s="19"/>
      <c r="E13" s="19"/>
      <c r="F13" s="20" t="s">
        <v>64</v>
      </c>
      <c r="G13" s="21" t="s">
        <v>23</v>
      </c>
    </row>
    <row r="14" spans="1:7" ht="147.94999999999999" customHeight="1">
      <c r="A14" s="13"/>
      <c r="B14" s="13"/>
      <c r="C14" s="11"/>
      <c r="D14" s="3"/>
      <c r="E14" s="3"/>
      <c r="F14" s="12"/>
      <c r="G14" s="14"/>
    </row>
    <row r="15" spans="1:7" ht="210" customHeight="1">
      <c r="A15" s="13"/>
      <c r="B15" s="13"/>
      <c r="C15" s="11"/>
      <c r="D15" s="3"/>
      <c r="E15" s="3"/>
      <c r="F15" s="12"/>
      <c r="G15" s="14"/>
    </row>
    <row r="16" spans="1:7" ht="147.94999999999999" customHeight="1">
      <c r="A16" s="13"/>
      <c r="B16" s="13"/>
      <c r="C16" s="11"/>
      <c r="D16" s="3"/>
      <c r="E16" s="3"/>
      <c r="F16" s="12"/>
      <c r="G16" s="14"/>
    </row>
    <row r="17" spans="1:7" ht="165" customHeight="1">
      <c r="A17" s="13"/>
      <c r="B17" s="13"/>
      <c r="C17" s="11"/>
      <c r="D17" s="3"/>
      <c r="E17" s="3"/>
      <c r="F17" s="12"/>
      <c r="G17" s="14"/>
    </row>
    <row r="18" spans="1:7" ht="165" customHeight="1">
      <c r="A18" s="13"/>
      <c r="B18" s="13"/>
      <c r="C18" s="11"/>
      <c r="D18" s="3"/>
      <c r="E18" s="3"/>
      <c r="F18" s="12"/>
      <c r="G18" s="14"/>
    </row>
    <row r="19" spans="1:7" ht="156.94999999999999" customHeight="1">
      <c r="A19" s="13"/>
      <c r="B19" s="13"/>
      <c r="C19" s="11"/>
      <c r="D19" s="3"/>
      <c r="E19" s="3"/>
      <c r="F19" s="12"/>
      <c r="G19" s="14"/>
    </row>
    <row r="20" spans="1:7" ht="123.95" customHeight="1">
      <c r="A20" s="13"/>
      <c r="B20" s="13"/>
      <c r="C20" s="11"/>
      <c r="D20" s="3"/>
      <c r="E20" s="3"/>
      <c r="F20" s="12"/>
      <c r="G20" s="14"/>
    </row>
    <row r="21" spans="1:7" ht="182.1" customHeight="1">
      <c r="A21" s="13"/>
      <c r="B21" s="13"/>
      <c r="C21" s="11"/>
      <c r="D21" s="3"/>
      <c r="E21" s="3"/>
      <c r="F21" s="12"/>
      <c r="G21" s="14"/>
    </row>
    <row r="22" spans="1:7" ht="72" customHeight="1">
      <c r="A22" s="13"/>
      <c r="B22" s="13"/>
      <c r="C22" s="11"/>
      <c r="D22" s="3"/>
      <c r="E22" s="3"/>
      <c r="F22" s="12"/>
      <c r="G22" s="14"/>
    </row>
    <row r="23" spans="1:7">
      <c r="A23" s="1"/>
      <c r="B23" s="1"/>
      <c r="C23" s="1"/>
      <c r="D23" s="1"/>
      <c r="E23" s="1"/>
      <c r="F23" s="1"/>
      <c r="G23" s="1"/>
    </row>
    <row r="24" spans="1:7">
      <c r="A24" s="1"/>
      <c r="B24" s="1"/>
      <c r="C24" s="1"/>
      <c r="D24" s="1"/>
      <c r="E24" s="1"/>
      <c r="F24" s="1"/>
      <c r="G24" s="1"/>
    </row>
    <row r="25" spans="1:7">
      <c r="A25" s="1"/>
      <c r="B25" s="1"/>
      <c r="C25" s="1"/>
      <c r="D25" s="1"/>
      <c r="E25" s="1"/>
      <c r="F25" s="1"/>
      <c r="G25" s="1"/>
    </row>
  </sheetData>
  <mergeCells count="2">
    <mergeCell ref="A1:G2"/>
    <mergeCell ref="A3:G3"/>
  </mergeCells>
  <conditionalFormatting sqref="G8:G13">
    <cfRule type="expression" dxfId="15" priority="5">
      <formula>G8="OK"</formula>
    </cfRule>
    <cfRule type="expression" dxfId="14" priority="6">
      <formula>G8="Nicht OK"</formula>
    </cfRule>
    <cfRule type="expression" dxfId="13" priority="7">
      <formula>G8="Nicht geprüft"</formula>
    </cfRule>
    <cfRule type="expression" dxfId="12" priority="8">
      <formula>G8="n. a."</formula>
    </cfRule>
  </conditionalFormatting>
  <conditionalFormatting sqref="G8:G22">
    <cfRule type="expression" dxfId="11" priority="1">
      <formula>G8="OK"</formula>
    </cfRule>
    <cfRule type="expression" dxfId="10" priority="2">
      <formula>G8="Nicht OK"</formula>
    </cfRule>
    <cfRule type="expression" dxfId="9" priority="3">
      <formula>G8="Nicht geprüft"</formula>
    </cfRule>
    <cfRule type="expression" dxfId="8" priority="4">
      <formula>G8="n. a."</formula>
    </cfRule>
  </conditionalFormatting>
  <dataValidations count="1">
    <dataValidation type="list" sqref="G8:G22" xr:uid="{00000000-0002-0000-0100-000000000000}">
      <formula1>"Nicht geprüft,OK,Nicht OK,n. a."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5"/>
  <sheetViews>
    <sheetView showGridLines="0" tabSelected="1" workbookViewId="0">
      <selection activeCell="D16" sqref="D16"/>
    </sheetView>
  </sheetViews>
  <sheetFormatPr baseColWidth="10" defaultColWidth="9" defaultRowHeight="14.25"/>
  <cols>
    <col min="1" max="1" width="9" customWidth="1"/>
    <col min="2" max="2" width="18" customWidth="1"/>
    <col min="3" max="3" width="42" customWidth="1"/>
    <col min="4" max="4" width="52" customWidth="1"/>
    <col min="5" max="5" width="18" customWidth="1"/>
    <col min="6" max="6" width="46" customWidth="1"/>
    <col min="7" max="7" width="28" customWidth="1"/>
    <col min="8" max="8" width="14" customWidth="1"/>
    <col min="9" max="9" width="19" customWidth="1"/>
    <col min="10" max="10" width="22" customWidth="1"/>
    <col min="11" max="11" width="34" customWidth="1"/>
  </cols>
  <sheetData>
    <row r="1" spans="1:11" ht="33.950000000000003" customHeight="1">
      <c r="A1" s="22" t="s">
        <v>65</v>
      </c>
      <c r="B1" s="22" t="s">
        <v>65</v>
      </c>
      <c r="C1" s="22" t="s">
        <v>65</v>
      </c>
      <c r="D1" s="22" t="s">
        <v>65</v>
      </c>
      <c r="E1" s="22" t="s">
        <v>65</v>
      </c>
      <c r="F1" s="22" t="s">
        <v>65</v>
      </c>
      <c r="G1" s="22" t="s">
        <v>65</v>
      </c>
      <c r="H1" s="22" t="s">
        <v>65</v>
      </c>
      <c r="I1" s="22" t="s">
        <v>65</v>
      </c>
      <c r="J1" s="22" t="s">
        <v>65</v>
      </c>
      <c r="K1" s="22" t="s">
        <v>65</v>
      </c>
    </row>
    <row r="2" spans="1:11" ht="33.950000000000003" customHeight="1">
      <c r="A2" s="22" t="s">
        <v>65</v>
      </c>
      <c r="B2" s="22" t="s">
        <v>65</v>
      </c>
      <c r="C2" s="22" t="s">
        <v>65</v>
      </c>
      <c r="D2" s="22" t="s">
        <v>65</v>
      </c>
      <c r="E2" s="22" t="s">
        <v>65</v>
      </c>
      <c r="F2" s="22" t="s">
        <v>65</v>
      </c>
      <c r="G2" s="22" t="s">
        <v>65</v>
      </c>
      <c r="H2" s="22" t="s">
        <v>65</v>
      </c>
      <c r="I2" s="22" t="s">
        <v>65</v>
      </c>
      <c r="J2" s="22" t="s">
        <v>65</v>
      </c>
      <c r="K2" s="22" t="s">
        <v>65</v>
      </c>
    </row>
    <row r="3" spans="1:11">
      <c r="A3" s="27" t="s">
        <v>66</v>
      </c>
      <c r="B3" s="27" t="s">
        <v>66</v>
      </c>
      <c r="C3" s="27" t="s">
        <v>66</v>
      </c>
      <c r="D3" s="27" t="s">
        <v>66</v>
      </c>
      <c r="E3" s="27" t="s">
        <v>66</v>
      </c>
      <c r="F3" s="27" t="s">
        <v>66</v>
      </c>
      <c r="G3" s="27" t="s">
        <v>66</v>
      </c>
      <c r="H3" s="27" t="s">
        <v>66</v>
      </c>
      <c r="I3" s="27" t="s">
        <v>66</v>
      </c>
      <c r="J3" s="27" t="s">
        <v>66</v>
      </c>
      <c r="K3" s="27" t="s">
        <v>66</v>
      </c>
    </row>
    <row r="4" spans="1:1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15">
      <c r="A5" s="15" t="s">
        <v>67</v>
      </c>
      <c r="B5" s="15">
        <v>12</v>
      </c>
      <c r="C5" s="15" t="s">
        <v>68</v>
      </c>
      <c r="D5" s="15">
        <f>COUNTIF(B8:B19,"Eingabe")+COUNTIF(B8:B19,"Eingabe / Ausgabe")</f>
        <v>1</v>
      </c>
      <c r="E5" s="15" t="s">
        <v>69</v>
      </c>
      <c r="F5" s="15">
        <f>COUNTIF(B8:B19,"Ausgabe")+COUNTIF(B8:B19,"Eingabe / Ausgabe")</f>
        <v>11</v>
      </c>
      <c r="G5" s="15" t="s">
        <v>70</v>
      </c>
      <c r="H5" s="15">
        <f>COUNTIF(I8:I19,"Geprüft")+COUNTIF(I8:I19,"Freigegeben")</f>
        <v>0</v>
      </c>
      <c r="I5" s="15" t="s">
        <v>71</v>
      </c>
      <c r="J5" s="15">
        <f>COUNTIF(I8:I19,"Nicht vorgelegt")</f>
        <v>12</v>
      </c>
      <c r="K5" s="15"/>
    </row>
    <row r="6" spans="1:1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>
      <c r="A7" s="10" t="s">
        <v>72</v>
      </c>
      <c r="B7" s="10" t="s">
        <v>73</v>
      </c>
      <c r="C7" s="10" t="s">
        <v>74</v>
      </c>
      <c r="D7" s="10" t="s">
        <v>75</v>
      </c>
      <c r="E7" s="10" t="s">
        <v>76</v>
      </c>
      <c r="F7" s="10" t="s">
        <v>77</v>
      </c>
      <c r="G7" s="10" t="s">
        <v>78</v>
      </c>
      <c r="H7" s="10" t="s">
        <v>79</v>
      </c>
      <c r="I7" s="10" t="s">
        <v>80</v>
      </c>
      <c r="J7" s="10" t="s">
        <v>81</v>
      </c>
      <c r="K7" s="10" t="s">
        <v>82</v>
      </c>
    </row>
    <row r="8" spans="1:11" ht="60" customHeight="1">
      <c r="A8" s="17" t="s">
        <v>83</v>
      </c>
      <c r="B8" s="17" t="s">
        <v>84</v>
      </c>
      <c r="C8" s="18" t="s">
        <v>85</v>
      </c>
      <c r="D8" s="18" t="s">
        <v>86</v>
      </c>
      <c r="E8" s="17" t="s">
        <v>87</v>
      </c>
      <c r="F8" s="18" t="s">
        <v>88</v>
      </c>
      <c r="G8" s="19"/>
      <c r="H8" s="21"/>
      <c r="I8" s="21" t="s">
        <v>71</v>
      </c>
      <c r="J8" s="19"/>
      <c r="K8" s="19"/>
    </row>
    <row r="9" spans="1:11" ht="60" customHeight="1">
      <c r="A9" s="17" t="s">
        <v>89</v>
      </c>
      <c r="B9" s="17" t="s">
        <v>90</v>
      </c>
      <c r="C9" s="18" t="s">
        <v>91</v>
      </c>
      <c r="D9" s="18" t="s">
        <v>92</v>
      </c>
      <c r="E9" s="17" t="s">
        <v>87</v>
      </c>
      <c r="F9" s="18" t="s">
        <v>93</v>
      </c>
      <c r="G9" s="19"/>
      <c r="H9" s="21"/>
      <c r="I9" s="21" t="s">
        <v>71</v>
      </c>
      <c r="J9" s="19"/>
      <c r="K9" s="19"/>
    </row>
    <row r="10" spans="1:11" ht="60" customHeight="1">
      <c r="A10" s="17" t="s">
        <v>94</v>
      </c>
      <c r="B10" s="17" t="s">
        <v>90</v>
      </c>
      <c r="C10" s="18" t="s">
        <v>95</v>
      </c>
      <c r="D10" s="18" t="s">
        <v>96</v>
      </c>
      <c r="E10" s="17" t="s">
        <v>49</v>
      </c>
      <c r="F10" s="18" t="s">
        <v>97</v>
      </c>
      <c r="G10" s="19"/>
      <c r="H10" s="21"/>
      <c r="I10" s="21" t="s">
        <v>71</v>
      </c>
      <c r="J10" s="19"/>
      <c r="K10" s="19"/>
    </row>
    <row r="11" spans="1:11" ht="60" customHeight="1">
      <c r="A11" s="17" t="s">
        <v>98</v>
      </c>
      <c r="B11" s="17" t="s">
        <v>90</v>
      </c>
      <c r="C11" s="18" t="s">
        <v>99</v>
      </c>
      <c r="D11" s="18" t="s">
        <v>100</v>
      </c>
      <c r="E11" s="17" t="s">
        <v>101</v>
      </c>
      <c r="F11" s="18" t="s">
        <v>102</v>
      </c>
      <c r="G11" s="19"/>
      <c r="H11" s="21"/>
      <c r="I11" s="21" t="s">
        <v>71</v>
      </c>
      <c r="J11" s="19"/>
      <c r="K11" s="19"/>
    </row>
    <row r="12" spans="1:11" ht="60" customHeight="1">
      <c r="A12" s="17" t="s">
        <v>103</v>
      </c>
      <c r="B12" s="17" t="s">
        <v>90</v>
      </c>
      <c r="C12" s="18" t="s">
        <v>104</v>
      </c>
      <c r="D12" s="18" t="s">
        <v>105</v>
      </c>
      <c r="E12" s="17" t="s">
        <v>49</v>
      </c>
      <c r="F12" s="18" t="s">
        <v>106</v>
      </c>
      <c r="G12" s="19"/>
      <c r="H12" s="21"/>
      <c r="I12" s="21" t="s">
        <v>71</v>
      </c>
      <c r="J12" s="19"/>
      <c r="K12" s="19"/>
    </row>
    <row r="13" spans="1:11" ht="60" customHeight="1">
      <c r="A13" s="17" t="s">
        <v>107</v>
      </c>
      <c r="B13" s="17" t="s">
        <v>90</v>
      </c>
      <c r="C13" s="18" t="s">
        <v>108</v>
      </c>
      <c r="D13" s="18" t="s">
        <v>109</v>
      </c>
      <c r="E13" s="17" t="s">
        <v>49</v>
      </c>
      <c r="F13" s="18" t="s">
        <v>110</v>
      </c>
      <c r="G13" s="19"/>
      <c r="H13" s="21"/>
      <c r="I13" s="21" t="s">
        <v>71</v>
      </c>
      <c r="J13" s="19"/>
      <c r="K13" s="19"/>
    </row>
    <row r="14" spans="1:11" ht="60" customHeight="1">
      <c r="A14" s="17" t="s">
        <v>111</v>
      </c>
      <c r="B14" s="17" t="s">
        <v>90</v>
      </c>
      <c r="C14" s="18" t="s">
        <v>112</v>
      </c>
      <c r="D14" s="18" t="s">
        <v>113</v>
      </c>
      <c r="E14" s="17" t="s">
        <v>114</v>
      </c>
      <c r="F14" s="18" t="s">
        <v>115</v>
      </c>
      <c r="G14" s="19"/>
      <c r="H14" s="21"/>
      <c r="I14" s="21" t="s">
        <v>71</v>
      </c>
      <c r="J14" s="19"/>
      <c r="K14" s="19"/>
    </row>
    <row r="15" spans="1:11" ht="60" customHeight="1">
      <c r="A15" s="17" t="s">
        <v>116</v>
      </c>
      <c r="B15" s="17" t="s">
        <v>90</v>
      </c>
      <c r="C15" s="18" t="s">
        <v>117</v>
      </c>
      <c r="D15" s="18" t="s">
        <v>118</v>
      </c>
      <c r="E15" s="17" t="s">
        <v>49</v>
      </c>
      <c r="F15" s="18" t="s">
        <v>119</v>
      </c>
      <c r="G15" s="19"/>
      <c r="H15" s="21"/>
      <c r="I15" s="21" t="s">
        <v>71</v>
      </c>
      <c r="J15" s="19"/>
      <c r="K15" s="19"/>
    </row>
    <row r="16" spans="1:11" ht="60" customHeight="1">
      <c r="A16" s="17" t="s">
        <v>120</v>
      </c>
      <c r="B16" s="17" t="s">
        <v>90</v>
      </c>
      <c r="C16" s="18" t="s">
        <v>121</v>
      </c>
      <c r="D16" s="18" t="s">
        <v>122</v>
      </c>
      <c r="E16" s="17" t="s">
        <v>123</v>
      </c>
      <c r="F16" s="18" t="s">
        <v>124</v>
      </c>
      <c r="G16" s="19"/>
      <c r="H16" s="21"/>
      <c r="I16" s="21" t="s">
        <v>71</v>
      </c>
      <c r="J16" s="19"/>
      <c r="K16" s="19"/>
    </row>
    <row r="17" spans="1:11" ht="60" customHeight="1">
      <c r="A17" s="17" t="s">
        <v>125</v>
      </c>
      <c r="B17" s="17" t="s">
        <v>90</v>
      </c>
      <c r="C17" s="18" t="s">
        <v>126</v>
      </c>
      <c r="D17" s="18" t="s">
        <v>127</v>
      </c>
      <c r="E17" s="17" t="s">
        <v>61</v>
      </c>
      <c r="F17" s="18" t="s">
        <v>128</v>
      </c>
      <c r="G17" s="19"/>
      <c r="H17" s="21"/>
      <c r="I17" s="21" t="s">
        <v>71</v>
      </c>
      <c r="J17" s="19"/>
      <c r="K17" s="19"/>
    </row>
    <row r="18" spans="1:11" ht="60" customHeight="1">
      <c r="A18" s="17" t="s">
        <v>129</v>
      </c>
      <c r="B18" s="17" t="s">
        <v>90</v>
      </c>
      <c r="C18" s="18" t="s">
        <v>130</v>
      </c>
      <c r="D18" s="18" t="s">
        <v>131</v>
      </c>
      <c r="E18" s="17" t="s">
        <v>57</v>
      </c>
      <c r="F18" s="18" t="s">
        <v>132</v>
      </c>
      <c r="G18" s="19"/>
      <c r="H18" s="21"/>
      <c r="I18" s="21" t="s">
        <v>71</v>
      </c>
      <c r="J18" s="19"/>
      <c r="K18" s="19"/>
    </row>
    <row r="19" spans="1:11" ht="60" customHeight="1">
      <c r="A19" s="17" t="s">
        <v>133</v>
      </c>
      <c r="B19" s="17" t="s">
        <v>90</v>
      </c>
      <c r="C19" s="18" t="s">
        <v>134</v>
      </c>
      <c r="D19" s="18" t="s">
        <v>135</v>
      </c>
      <c r="E19" s="17" t="s">
        <v>53</v>
      </c>
      <c r="F19" s="18" t="s">
        <v>136</v>
      </c>
      <c r="G19" s="19"/>
      <c r="H19" s="21"/>
      <c r="I19" s="21" t="s">
        <v>71</v>
      </c>
      <c r="J19" s="19"/>
      <c r="K19" s="19"/>
    </row>
    <row r="20" spans="1:11" ht="56.1" customHeight="1">
      <c r="A20" s="13"/>
      <c r="B20" s="13"/>
      <c r="C20" s="11"/>
      <c r="D20" s="11"/>
      <c r="E20" s="13"/>
      <c r="F20" s="11"/>
      <c r="G20" s="3"/>
      <c r="H20" s="14"/>
      <c r="I20" s="14"/>
      <c r="J20" s="3"/>
      <c r="K20" s="3"/>
    </row>
    <row r="21" spans="1:11" ht="56.1" customHeight="1">
      <c r="A21" s="13"/>
      <c r="B21" s="13"/>
      <c r="C21" s="11"/>
      <c r="D21" s="11"/>
      <c r="E21" s="13"/>
      <c r="F21" s="11"/>
      <c r="G21" s="3"/>
      <c r="H21" s="14"/>
      <c r="I21" s="14"/>
      <c r="J21" s="3"/>
      <c r="K21" s="3"/>
    </row>
    <row r="22" spans="1:11" ht="56.1" customHeight="1">
      <c r="A22" s="13"/>
      <c r="B22" s="13"/>
      <c r="C22" s="11"/>
      <c r="D22" s="11"/>
      <c r="E22" s="13"/>
      <c r="F22" s="11"/>
      <c r="G22" s="3"/>
      <c r="H22" s="14"/>
      <c r="I22" s="14"/>
      <c r="J22" s="3"/>
      <c r="K22" s="3"/>
    </row>
    <row r="23" spans="1:11" ht="56.1" customHeight="1">
      <c r="A23" s="13"/>
      <c r="B23" s="13"/>
      <c r="C23" s="11"/>
      <c r="D23" s="11"/>
      <c r="E23" s="13"/>
      <c r="F23" s="11"/>
      <c r="G23" s="3"/>
      <c r="H23" s="14"/>
      <c r="I23" s="14"/>
      <c r="J23" s="3"/>
      <c r="K23" s="3"/>
    </row>
    <row r="24" spans="1:11" ht="56.1" customHeight="1">
      <c r="A24" s="13"/>
      <c r="B24" s="13"/>
      <c r="C24" s="11"/>
      <c r="D24" s="11"/>
      <c r="E24" s="13"/>
      <c r="F24" s="11"/>
      <c r="G24" s="3"/>
      <c r="H24" s="14"/>
      <c r="I24" s="14"/>
      <c r="J24" s="3"/>
      <c r="K24" s="3"/>
    </row>
    <row r="25" spans="1:11" ht="56.1" customHeight="1">
      <c r="A25" s="13"/>
      <c r="B25" s="13"/>
      <c r="C25" s="11"/>
      <c r="D25" s="11"/>
      <c r="E25" s="13"/>
      <c r="F25" s="11"/>
      <c r="G25" s="3"/>
      <c r="H25" s="14"/>
      <c r="I25" s="14"/>
      <c r="J25" s="3"/>
      <c r="K25" s="3"/>
    </row>
    <row r="26" spans="1:11" ht="56.1" customHeight="1">
      <c r="A26" s="13"/>
      <c r="B26" s="13"/>
      <c r="C26" s="11"/>
      <c r="D26" s="11"/>
      <c r="E26" s="13"/>
      <c r="F26" s="11"/>
      <c r="G26" s="3"/>
      <c r="H26" s="14"/>
      <c r="I26" s="14"/>
      <c r="J26" s="3"/>
      <c r="K26" s="3"/>
    </row>
    <row r="27" spans="1:11" ht="56.1" customHeight="1">
      <c r="A27" s="13"/>
      <c r="B27" s="13"/>
      <c r="C27" s="11"/>
      <c r="D27" s="11"/>
      <c r="E27" s="13"/>
      <c r="F27" s="11"/>
      <c r="G27" s="3"/>
      <c r="H27" s="14"/>
      <c r="I27" s="14"/>
      <c r="J27" s="3"/>
      <c r="K27" s="3"/>
    </row>
    <row r="28" spans="1:11" ht="56.1" customHeight="1">
      <c r="A28" s="13"/>
      <c r="B28" s="13"/>
      <c r="C28" s="11"/>
      <c r="D28" s="11"/>
      <c r="E28" s="13"/>
      <c r="F28" s="11"/>
      <c r="G28" s="3"/>
      <c r="H28" s="14"/>
      <c r="I28" s="14"/>
      <c r="J28" s="3"/>
      <c r="K28" s="3"/>
    </row>
    <row r="29" spans="1:11" ht="56.1" customHeight="1">
      <c r="A29" s="13"/>
      <c r="B29" s="13"/>
      <c r="C29" s="11"/>
      <c r="D29" s="11"/>
      <c r="E29" s="13"/>
      <c r="F29" s="11"/>
      <c r="G29" s="3"/>
      <c r="H29" s="14"/>
      <c r="I29" s="14"/>
      <c r="J29" s="3"/>
      <c r="K29" s="3"/>
    </row>
    <row r="30" spans="1:11" ht="56.1" customHeight="1">
      <c r="A30" s="13"/>
      <c r="B30" s="13"/>
      <c r="C30" s="11"/>
      <c r="D30" s="11"/>
      <c r="E30" s="13"/>
      <c r="F30" s="11"/>
      <c r="G30" s="3"/>
      <c r="H30" s="14"/>
      <c r="I30" s="14"/>
      <c r="J30" s="3"/>
      <c r="K30" s="3"/>
    </row>
    <row r="31" spans="1:11" ht="56.1" customHeight="1">
      <c r="A31" s="13"/>
      <c r="B31" s="13"/>
      <c r="C31" s="11"/>
      <c r="D31" s="11"/>
      <c r="E31" s="13"/>
      <c r="F31" s="11"/>
      <c r="G31" s="3"/>
      <c r="H31" s="14"/>
      <c r="I31" s="14"/>
      <c r="J31" s="3"/>
      <c r="K31" s="3"/>
    </row>
    <row r="32" spans="1:11" ht="56.1" customHeight="1">
      <c r="A32" s="13"/>
      <c r="B32" s="13"/>
      <c r="C32" s="11"/>
      <c r="D32" s="11"/>
      <c r="E32" s="13"/>
      <c r="F32" s="11"/>
      <c r="G32" s="3"/>
      <c r="H32" s="14"/>
      <c r="I32" s="14"/>
      <c r="J32" s="3"/>
      <c r="K32" s="3"/>
    </row>
    <row r="33" spans="1:11" ht="56.1" customHeight="1">
      <c r="A33" s="13"/>
      <c r="B33" s="13"/>
      <c r="C33" s="11"/>
      <c r="D33" s="11"/>
      <c r="E33" s="13"/>
      <c r="F33" s="11"/>
      <c r="G33" s="3"/>
      <c r="H33" s="14"/>
      <c r="I33" s="14"/>
      <c r="J33" s="3"/>
      <c r="K33" s="3"/>
    </row>
    <row r="34" spans="1:11" ht="56.1" customHeight="1">
      <c r="A34" s="13"/>
      <c r="B34" s="13"/>
      <c r="C34" s="11"/>
      <c r="D34" s="11"/>
      <c r="E34" s="13"/>
      <c r="F34" s="11"/>
      <c r="G34" s="3"/>
      <c r="H34" s="14"/>
      <c r="I34" s="14"/>
      <c r="J34" s="3"/>
      <c r="K34" s="3"/>
    </row>
    <row r="35" spans="1:11" ht="56.1" customHeight="1">
      <c r="A35" s="13"/>
      <c r="B35" s="13"/>
      <c r="C35" s="11"/>
      <c r="D35" s="11"/>
      <c r="E35" s="13"/>
      <c r="F35" s="11"/>
      <c r="G35" s="3"/>
      <c r="H35" s="14"/>
      <c r="I35" s="14"/>
      <c r="J35" s="3"/>
      <c r="K35" s="3"/>
    </row>
    <row r="36" spans="1:11" ht="56.1" customHeight="1">
      <c r="A36" s="13"/>
      <c r="B36" s="13"/>
      <c r="C36" s="11"/>
      <c r="D36" s="11"/>
      <c r="E36" s="13"/>
      <c r="F36" s="11"/>
      <c r="G36" s="3"/>
      <c r="H36" s="14"/>
      <c r="I36" s="14"/>
      <c r="J36" s="3"/>
      <c r="K36" s="3"/>
    </row>
    <row r="37" spans="1:11" ht="56.1" customHeight="1">
      <c r="A37" s="13"/>
      <c r="B37" s="13"/>
      <c r="C37" s="11"/>
      <c r="D37" s="11"/>
      <c r="E37" s="13"/>
      <c r="F37" s="11"/>
      <c r="G37" s="3"/>
      <c r="H37" s="14"/>
      <c r="I37" s="14"/>
      <c r="J37" s="3"/>
      <c r="K37" s="3"/>
    </row>
    <row r="38" spans="1:11" ht="56.1" customHeight="1">
      <c r="A38" s="13"/>
      <c r="B38" s="13"/>
      <c r="C38" s="11"/>
      <c r="D38" s="11"/>
      <c r="E38" s="13"/>
      <c r="F38" s="11"/>
      <c r="G38" s="3"/>
      <c r="H38" s="14"/>
      <c r="I38" s="14"/>
      <c r="J38" s="3"/>
      <c r="K38" s="3"/>
    </row>
    <row r="39" spans="1:11" ht="56.1" customHeight="1">
      <c r="A39" s="13"/>
      <c r="B39" s="13"/>
      <c r="C39" s="11"/>
      <c r="D39" s="11"/>
      <c r="E39" s="13"/>
      <c r="F39" s="11"/>
      <c r="G39" s="3"/>
      <c r="H39" s="14"/>
      <c r="I39" s="14"/>
      <c r="J39" s="3"/>
      <c r="K39" s="3"/>
    </row>
    <row r="40" spans="1:11" ht="56.1" customHeight="1">
      <c r="A40" s="13"/>
      <c r="B40" s="13"/>
      <c r="C40" s="11"/>
      <c r="D40" s="11"/>
      <c r="E40" s="13"/>
      <c r="F40" s="11"/>
      <c r="G40" s="3"/>
      <c r="H40" s="14"/>
      <c r="I40" s="14"/>
      <c r="J40" s="3"/>
      <c r="K40" s="3"/>
    </row>
    <row r="41" spans="1:11" ht="56.1" customHeight="1">
      <c r="A41" s="13"/>
      <c r="B41" s="13"/>
      <c r="C41" s="11"/>
      <c r="D41" s="11"/>
      <c r="E41" s="13"/>
      <c r="F41" s="11"/>
      <c r="G41" s="3"/>
      <c r="H41" s="14"/>
      <c r="I41" s="14"/>
      <c r="J41" s="3"/>
      <c r="K41" s="3"/>
    </row>
    <row r="42" spans="1:11" ht="56.1" customHeight="1">
      <c r="A42" s="13"/>
      <c r="B42" s="13"/>
      <c r="C42" s="11"/>
      <c r="D42" s="11"/>
      <c r="E42" s="13"/>
      <c r="F42" s="11"/>
      <c r="G42" s="3"/>
      <c r="H42" s="14"/>
      <c r="I42" s="14"/>
      <c r="J42" s="3"/>
      <c r="K42" s="3"/>
    </row>
    <row r="43" spans="1:11" ht="56.1" customHeight="1">
      <c r="A43" s="13"/>
      <c r="B43" s="13"/>
      <c r="C43" s="11"/>
      <c r="D43" s="11"/>
      <c r="E43" s="13"/>
      <c r="F43" s="11"/>
      <c r="G43" s="3"/>
      <c r="H43" s="14"/>
      <c r="I43" s="14"/>
      <c r="J43" s="3"/>
      <c r="K43" s="3"/>
    </row>
    <row r="44" spans="1:11" ht="56.1" customHeight="1">
      <c r="A44" s="13"/>
      <c r="B44" s="13"/>
      <c r="C44" s="11"/>
      <c r="D44" s="11"/>
      <c r="E44" s="13"/>
      <c r="F44" s="11"/>
      <c r="G44" s="3"/>
      <c r="H44" s="14"/>
      <c r="I44" s="14"/>
      <c r="J44" s="3"/>
      <c r="K44" s="3"/>
    </row>
    <row r="45" spans="1:1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</sheetData>
  <mergeCells count="2">
    <mergeCell ref="A1:K2"/>
    <mergeCell ref="A3:K3"/>
  </mergeCells>
  <conditionalFormatting sqref="B8:B44">
    <cfRule type="expression" dxfId="7" priority="1">
      <formula>B8="Eingabe"</formula>
    </cfRule>
    <cfRule type="expression" dxfId="6" priority="2">
      <formula>B8="Ausgabe"</formula>
    </cfRule>
    <cfRule type="expression" dxfId="5" priority="3">
      <formula>B8="Eingabe / Ausgabe"</formula>
    </cfRule>
  </conditionalFormatting>
  <conditionalFormatting sqref="I8:I44">
    <cfRule type="expression" dxfId="4" priority="4">
      <formula>I8="Geprüft"</formula>
    </cfRule>
    <cfRule type="expression" dxfId="3" priority="5">
      <formula>I8="Freigegeben"</formula>
    </cfRule>
    <cfRule type="expression" dxfId="2" priority="6">
      <formula>I8="Nicht vorgelegt"</formula>
    </cfRule>
  </conditionalFormatting>
  <dataValidations count="1">
    <dataValidation type="list" sqref="I8:I44" xr:uid="{00000000-0002-0000-0200-000000000000}">
      <formula1>"Nicht vorgelegt,Vorgelegt,In Prüfung,Geprüft,Freigegeben,Nicht anwendbar"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1"/>
  <sheetViews>
    <sheetView showGridLines="0" workbookViewId="0">
      <selection sqref="A1:G2"/>
    </sheetView>
  </sheetViews>
  <sheetFormatPr baseColWidth="10" defaultColWidth="9" defaultRowHeight="14.25"/>
  <cols>
    <col min="1" max="1" width="10" customWidth="1"/>
    <col min="2" max="2" width="8" customWidth="1"/>
    <col min="3" max="3" width="58" customWidth="1"/>
    <col min="4" max="4" width="18" customWidth="1"/>
    <col min="5" max="5" width="22" customWidth="1"/>
    <col min="6" max="6" width="14" customWidth="1"/>
    <col min="7" max="7" width="20" customWidth="1"/>
  </cols>
  <sheetData>
    <row r="1" spans="1:7" ht="33.950000000000003" customHeight="1">
      <c r="A1" s="22" t="s">
        <v>137</v>
      </c>
      <c r="B1" s="22" t="s">
        <v>137</v>
      </c>
      <c r="C1" s="22" t="s">
        <v>137</v>
      </c>
      <c r="D1" s="22" t="s">
        <v>137</v>
      </c>
      <c r="E1" s="22" t="s">
        <v>137</v>
      </c>
      <c r="F1" s="22" t="s">
        <v>137</v>
      </c>
      <c r="G1" s="22" t="s">
        <v>137</v>
      </c>
    </row>
    <row r="2" spans="1:7" ht="33.950000000000003" customHeight="1">
      <c r="A2" s="22" t="s">
        <v>137</v>
      </c>
      <c r="B2" s="22" t="s">
        <v>137</v>
      </c>
      <c r="C2" s="22" t="s">
        <v>137</v>
      </c>
      <c r="D2" s="22" t="s">
        <v>137</v>
      </c>
      <c r="E2" s="22" t="s">
        <v>137</v>
      </c>
      <c r="F2" s="22" t="s">
        <v>137</v>
      </c>
      <c r="G2" s="22" t="s">
        <v>137</v>
      </c>
    </row>
    <row r="3" spans="1:7">
      <c r="A3" s="28" t="s">
        <v>138</v>
      </c>
      <c r="B3" s="28"/>
      <c r="C3" s="28"/>
      <c r="D3" s="28"/>
      <c r="E3" s="28"/>
      <c r="F3" s="28"/>
      <c r="G3" s="28"/>
    </row>
    <row r="4" spans="1:7">
      <c r="A4" s="1"/>
      <c r="B4" s="1"/>
      <c r="C4" s="1"/>
      <c r="D4" s="1"/>
      <c r="E4" s="1"/>
      <c r="F4" s="1"/>
      <c r="G4" s="1"/>
    </row>
    <row r="5" spans="1:7">
      <c r="A5" s="10" t="s">
        <v>72</v>
      </c>
      <c r="B5" s="10" t="s">
        <v>139</v>
      </c>
      <c r="C5" s="10" t="s">
        <v>140</v>
      </c>
      <c r="D5" s="10" t="s">
        <v>76</v>
      </c>
      <c r="E5" s="10" t="s">
        <v>81</v>
      </c>
      <c r="F5" s="10" t="s">
        <v>141</v>
      </c>
      <c r="G5" s="10" t="s">
        <v>80</v>
      </c>
    </row>
    <row r="6" spans="1:7" ht="33.950000000000003" customHeight="1">
      <c r="A6" s="10" t="s">
        <v>142</v>
      </c>
      <c r="B6" s="3"/>
      <c r="C6" s="3"/>
      <c r="D6" s="3"/>
      <c r="E6" s="3"/>
      <c r="F6" s="4"/>
      <c r="G6" s="3" t="s">
        <v>143</v>
      </c>
    </row>
    <row r="7" spans="1:7" ht="33.950000000000003" customHeight="1">
      <c r="A7" s="10" t="s">
        <v>144</v>
      </c>
      <c r="B7" s="3"/>
      <c r="C7" s="3"/>
      <c r="D7" s="3"/>
      <c r="E7" s="3"/>
      <c r="F7" s="4"/>
      <c r="G7" s="3" t="s">
        <v>143</v>
      </c>
    </row>
    <row r="8" spans="1:7" ht="33.950000000000003" customHeight="1">
      <c r="A8" s="10" t="s">
        <v>145</v>
      </c>
      <c r="B8" s="3"/>
      <c r="C8" s="3"/>
      <c r="D8" s="3"/>
      <c r="E8" s="3"/>
      <c r="F8" s="4"/>
      <c r="G8" s="3" t="s">
        <v>143</v>
      </c>
    </row>
    <row r="9" spans="1:7" ht="33.950000000000003" customHeight="1">
      <c r="A9" s="10" t="s">
        <v>146</v>
      </c>
      <c r="B9" s="3"/>
      <c r="C9" s="3"/>
      <c r="D9" s="3"/>
      <c r="E9" s="3"/>
      <c r="F9" s="4"/>
      <c r="G9" s="3" t="s">
        <v>143</v>
      </c>
    </row>
    <row r="10" spans="1:7" ht="33.950000000000003" customHeight="1">
      <c r="A10" s="10" t="s">
        <v>147</v>
      </c>
      <c r="B10" s="3"/>
      <c r="C10" s="3"/>
      <c r="D10" s="3"/>
      <c r="E10" s="3"/>
      <c r="F10" s="4"/>
      <c r="G10" s="3" t="s">
        <v>143</v>
      </c>
    </row>
    <row r="11" spans="1:7" ht="33.950000000000003" customHeight="1">
      <c r="A11" s="10" t="s">
        <v>148</v>
      </c>
      <c r="B11" s="3"/>
      <c r="C11" s="3"/>
      <c r="D11" s="3"/>
      <c r="E11" s="3"/>
      <c r="F11" s="4"/>
      <c r="G11" s="3" t="s">
        <v>143</v>
      </c>
    </row>
    <row r="12" spans="1:7" ht="33.950000000000003" customHeight="1">
      <c r="A12" s="10" t="s">
        <v>149</v>
      </c>
      <c r="B12" s="3"/>
      <c r="C12" s="3"/>
      <c r="D12" s="3"/>
      <c r="E12" s="3"/>
      <c r="F12" s="4"/>
      <c r="G12" s="3" t="s">
        <v>143</v>
      </c>
    </row>
    <row r="13" spans="1:7" ht="33.950000000000003" customHeight="1">
      <c r="A13" s="10" t="s">
        <v>150</v>
      </c>
      <c r="B13" s="3"/>
      <c r="C13" s="3"/>
      <c r="D13" s="3"/>
      <c r="E13" s="3"/>
      <c r="F13" s="4"/>
      <c r="G13" s="3" t="s">
        <v>143</v>
      </c>
    </row>
    <row r="14" spans="1:7" ht="33.950000000000003" customHeight="1">
      <c r="A14" s="10" t="s">
        <v>151</v>
      </c>
      <c r="B14" s="3"/>
      <c r="C14" s="3"/>
      <c r="D14" s="3"/>
      <c r="E14" s="3"/>
      <c r="F14" s="4"/>
      <c r="G14" s="3" t="s">
        <v>143</v>
      </c>
    </row>
    <row r="15" spans="1:7" ht="33.950000000000003" customHeight="1">
      <c r="A15" s="10" t="s">
        <v>152</v>
      </c>
      <c r="B15" s="3"/>
      <c r="C15" s="3"/>
      <c r="D15" s="3"/>
      <c r="E15" s="3"/>
      <c r="F15" s="4"/>
      <c r="G15" s="3" t="s">
        <v>143</v>
      </c>
    </row>
    <row r="16" spans="1:7" ht="33.950000000000003" customHeight="1">
      <c r="A16" s="10" t="s">
        <v>153</v>
      </c>
      <c r="B16" s="3"/>
      <c r="C16" s="3"/>
      <c r="D16" s="3"/>
      <c r="E16" s="3"/>
      <c r="F16" s="4"/>
      <c r="G16" s="3" t="s">
        <v>143</v>
      </c>
    </row>
    <row r="17" spans="1:7" ht="33.950000000000003" customHeight="1">
      <c r="A17" s="10" t="s">
        <v>154</v>
      </c>
      <c r="B17" s="3"/>
      <c r="C17" s="3"/>
      <c r="D17" s="3"/>
      <c r="E17" s="3"/>
      <c r="F17" s="4"/>
      <c r="G17" s="3" t="s">
        <v>143</v>
      </c>
    </row>
    <row r="18" spans="1:7" ht="33.950000000000003" customHeight="1">
      <c r="A18" s="10" t="s">
        <v>155</v>
      </c>
      <c r="B18" s="3"/>
      <c r="C18" s="3"/>
      <c r="D18" s="3"/>
      <c r="E18" s="3"/>
      <c r="F18" s="4"/>
      <c r="G18" s="3" t="s">
        <v>143</v>
      </c>
    </row>
    <row r="19" spans="1:7" ht="33.950000000000003" customHeight="1">
      <c r="A19" s="10" t="s">
        <v>156</v>
      </c>
      <c r="B19" s="3"/>
      <c r="C19" s="3"/>
      <c r="D19" s="3"/>
      <c r="E19" s="3"/>
      <c r="F19" s="4"/>
      <c r="G19" s="3" t="s">
        <v>143</v>
      </c>
    </row>
    <row r="20" spans="1:7" ht="33.950000000000003" customHeight="1">
      <c r="A20" s="10" t="s">
        <v>157</v>
      </c>
      <c r="B20" s="3"/>
      <c r="C20" s="3"/>
      <c r="D20" s="3"/>
      <c r="E20" s="3"/>
      <c r="F20" s="4"/>
      <c r="G20" s="3" t="s">
        <v>143</v>
      </c>
    </row>
    <row r="21" spans="1:7" ht="33.950000000000003" customHeight="1">
      <c r="A21" s="10" t="s">
        <v>158</v>
      </c>
      <c r="B21" s="3"/>
      <c r="C21" s="3"/>
      <c r="D21" s="3"/>
      <c r="E21" s="3"/>
      <c r="F21" s="4"/>
      <c r="G21" s="3" t="s">
        <v>143</v>
      </c>
    </row>
    <row r="22" spans="1:7" ht="33.950000000000003" customHeight="1">
      <c r="A22" s="10" t="s">
        <v>159</v>
      </c>
      <c r="B22" s="3"/>
      <c r="C22" s="3"/>
      <c r="D22" s="3"/>
      <c r="E22" s="3"/>
      <c r="F22" s="4"/>
      <c r="G22" s="3" t="s">
        <v>143</v>
      </c>
    </row>
    <row r="23" spans="1:7" ht="33.950000000000003" customHeight="1">
      <c r="A23" s="10" t="s">
        <v>160</v>
      </c>
      <c r="B23" s="3"/>
      <c r="C23" s="3"/>
      <c r="D23" s="3"/>
      <c r="E23" s="3"/>
      <c r="F23" s="4"/>
      <c r="G23" s="3" t="s">
        <v>143</v>
      </c>
    </row>
    <row r="24" spans="1:7" ht="33.950000000000003" customHeight="1">
      <c r="A24" s="10" t="s">
        <v>161</v>
      </c>
      <c r="B24" s="3"/>
      <c r="C24" s="3"/>
      <c r="D24" s="3"/>
      <c r="E24" s="3"/>
      <c r="F24" s="4"/>
      <c r="G24" s="3" t="s">
        <v>143</v>
      </c>
    </row>
    <row r="25" spans="1:7" ht="33.950000000000003" customHeight="1">
      <c r="A25" s="10" t="s">
        <v>162</v>
      </c>
      <c r="B25" s="3"/>
      <c r="C25" s="3"/>
      <c r="D25" s="3"/>
      <c r="E25" s="3"/>
      <c r="F25" s="4"/>
      <c r="G25" s="3" t="s">
        <v>143</v>
      </c>
    </row>
    <row r="26" spans="1:7">
      <c r="A26" s="1"/>
      <c r="B26" s="1"/>
      <c r="C26" s="1"/>
      <c r="D26" s="1"/>
      <c r="E26" s="1"/>
      <c r="F26" s="1"/>
      <c r="G26" s="1"/>
    </row>
    <row r="27" spans="1:7">
      <c r="A27" s="1"/>
      <c r="B27" s="1"/>
      <c r="C27" s="1"/>
      <c r="D27" s="1"/>
      <c r="E27" s="1"/>
      <c r="F27" s="1"/>
      <c r="G27" s="1"/>
    </row>
    <row r="28" spans="1:7">
      <c r="A28" s="1"/>
      <c r="B28" s="1"/>
      <c r="C28" s="1"/>
      <c r="D28" s="1"/>
      <c r="E28" s="1"/>
      <c r="F28" s="1"/>
      <c r="G28" s="1"/>
    </row>
    <row r="29" spans="1:7">
      <c r="A29" s="1"/>
      <c r="B29" s="1"/>
      <c r="C29" s="1"/>
      <c r="D29" s="1"/>
      <c r="E29" s="1"/>
      <c r="F29" s="1"/>
      <c r="G29" s="1"/>
    </row>
    <row r="30" spans="1:7">
      <c r="A30" s="1"/>
      <c r="B30" s="1"/>
      <c r="C30" s="1"/>
      <c r="D30" s="1"/>
      <c r="E30" s="1"/>
      <c r="F30" s="1"/>
      <c r="G30" s="1"/>
    </row>
    <row r="31" spans="1:7">
      <c r="A31" s="1"/>
      <c r="B31" s="1"/>
      <c r="C31" s="1"/>
      <c r="D31" s="1"/>
      <c r="E31" s="1"/>
      <c r="F31" s="1"/>
      <c r="G31" s="1"/>
    </row>
  </sheetData>
  <mergeCells count="2">
    <mergeCell ref="A1:G2"/>
    <mergeCell ref="A3:G3"/>
  </mergeCells>
  <conditionalFormatting sqref="G6:G25">
    <cfRule type="expression" dxfId="1" priority="1">
      <formula>G6="Erledigt"</formula>
    </cfRule>
    <cfRule type="expression" dxfId="0" priority="2">
      <formula>G6="Offen"</formula>
    </cfRule>
  </conditionalFormatting>
  <dataValidations count="2">
    <dataValidation type="list" sqref="B6:B25" xr:uid="{00000000-0002-0000-0300-000000000000}">
      <formula1>"A,I,B"</formula1>
    </dataValidation>
    <dataValidation type="list" sqref="G6:G25" xr:uid="{00000000-0002-0000-0300-000001000000}">
      <formula1>"Offen,In Bearbeitung,Erledigt,Zurückgestellt"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8"/>
  <sheetViews>
    <sheetView showGridLines="0" workbookViewId="0">
      <selection sqref="A1:D2"/>
    </sheetView>
  </sheetViews>
  <sheetFormatPr baseColWidth="10" defaultColWidth="9" defaultRowHeight="14.25"/>
  <cols>
    <col min="1" max="1" width="14" customWidth="1"/>
    <col min="2" max="2" width="42" customWidth="1"/>
    <col min="3" max="3" width="48" customWidth="1"/>
    <col min="4" max="4" width="38" customWidth="1"/>
  </cols>
  <sheetData>
    <row r="1" spans="1:4" ht="33.950000000000003" customHeight="1">
      <c r="A1" s="22" t="s">
        <v>163</v>
      </c>
      <c r="B1" s="22" t="s">
        <v>163</v>
      </c>
      <c r="C1" s="22" t="s">
        <v>163</v>
      </c>
      <c r="D1" s="22" t="s">
        <v>163</v>
      </c>
    </row>
    <row r="2" spans="1:4" ht="33.950000000000003" customHeight="1">
      <c r="A2" s="22" t="s">
        <v>163</v>
      </c>
      <c r="B2" s="22" t="s">
        <v>163</v>
      </c>
      <c r="C2" s="22" t="s">
        <v>163</v>
      </c>
      <c r="D2" s="22" t="s">
        <v>163</v>
      </c>
    </row>
    <row r="3" spans="1:4">
      <c r="A3" s="1"/>
      <c r="B3" s="1"/>
      <c r="C3" s="1"/>
      <c r="D3" s="1"/>
    </row>
    <row r="4" spans="1:4" ht="24" customHeight="1">
      <c r="A4" s="24" t="s">
        <v>164</v>
      </c>
      <c r="B4" s="24" t="s">
        <v>164</v>
      </c>
      <c r="C4" s="24" t="s">
        <v>164</v>
      </c>
      <c r="D4" s="24" t="s">
        <v>164</v>
      </c>
    </row>
    <row r="5" spans="1:4">
      <c r="A5" s="9" t="s">
        <v>165</v>
      </c>
      <c r="B5" s="9" t="s">
        <v>166</v>
      </c>
      <c r="C5" s="9" t="s">
        <v>167</v>
      </c>
      <c r="D5" s="9" t="s">
        <v>168</v>
      </c>
    </row>
    <row r="6" spans="1:4" ht="48" customHeight="1">
      <c r="A6" s="16" t="s">
        <v>169</v>
      </c>
      <c r="B6" s="9" t="s">
        <v>170</v>
      </c>
      <c r="C6" s="9" t="s">
        <v>171</v>
      </c>
      <c r="D6" s="9" t="s">
        <v>172</v>
      </c>
    </row>
    <row r="7" spans="1:4" ht="48" customHeight="1">
      <c r="A7" s="16" t="s">
        <v>173</v>
      </c>
      <c r="B7" s="9" t="s">
        <v>174</v>
      </c>
      <c r="C7" s="9" t="s">
        <v>175</v>
      </c>
      <c r="D7" s="9" t="s">
        <v>172</v>
      </c>
    </row>
    <row r="8" spans="1:4" ht="48" customHeight="1">
      <c r="A8" s="16" t="s">
        <v>176</v>
      </c>
      <c r="B8" s="9" t="s">
        <v>177</v>
      </c>
      <c r="C8" s="9" t="s">
        <v>178</v>
      </c>
      <c r="D8" s="9" t="s">
        <v>172</v>
      </c>
    </row>
    <row r="9" spans="1:4" ht="48" customHeight="1">
      <c r="A9" s="16" t="s">
        <v>179</v>
      </c>
      <c r="B9" s="9" t="s">
        <v>180</v>
      </c>
      <c r="C9" s="9" t="s">
        <v>181</v>
      </c>
      <c r="D9" s="9" t="s">
        <v>172</v>
      </c>
    </row>
    <row r="10" spans="1:4">
      <c r="A10" s="1"/>
      <c r="B10" s="1"/>
      <c r="C10" s="1"/>
      <c r="D10" s="1"/>
    </row>
    <row r="11" spans="1:4" ht="24" customHeight="1">
      <c r="A11" s="24" t="s">
        <v>182</v>
      </c>
      <c r="B11" s="24" t="s">
        <v>182</v>
      </c>
      <c r="C11" s="24" t="s">
        <v>182</v>
      </c>
      <c r="D11" s="24" t="s">
        <v>182</v>
      </c>
    </row>
    <row r="12" spans="1:4">
      <c r="A12" s="9" t="s">
        <v>183</v>
      </c>
      <c r="B12" s="9" t="s">
        <v>184</v>
      </c>
      <c r="C12" s="9" t="s">
        <v>185</v>
      </c>
      <c r="D12" s="9" t="s">
        <v>186</v>
      </c>
    </row>
    <row r="13" spans="1:4" ht="51.95" customHeight="1">
      <c r="A13" s="9" t="s">
        <v>46</v>
      </c>
      <c r="B13" s="9" t="s">
        <v>187</v>
      </c>
      <c r="C13" s="9" t="s">
        <v>188</v>
      </c>
      <c r="D13" s="9" t="s">
        <v>189</v>
      </c>
    </row>
    <row r="14" spans="1:4" ht="51.95" customHeight="1">
      <c r="A14" s="9" t="s">
        <v>49</v>
      </c>
      <c r="B14" s="9" t="s">
        <v>190</v>
      </c>
      <c r="C14" s="9" t="s">
        <v>191</v>
      </c>
      <c r="D14" s="9" t="s">
        <v>192</v>
      </c>
    </row>
    <row r="15" spans="1:4" ht="51.95" customHeight="1">
      <c r="A15" s="9" t="s">
        <v>53</v>
      </c>
      <c r="B15" s="9" t="s">
        <v>193</v>
      </c>
      <c r="C15" s="9" t="s">
        <v>194</v>
      </c>
      <c r="D15" s="9" t="s">
        <v>195</v>
      </c>
    </row>
    <row r="16" spans="1:4" ht="51.95" customHeight="1">
      <c r="A16" s="9" t="s">
        <v>57</v>
      </c>
      <c r="B16" s="9" t="s">
        <v>196</v>
      </c>
      <c r="C16" s="9" t="s">
        <v>197</v>
      </c>
      <c r="D16" s="9" t="s">
        <v>198</v>
      </c>
    </row>
    <row r="17" spans="1:4" ht="51.95" customHeight="1">
      <c r="A17" s="9" t="s">
        <v>61</v>
      </c>
      <c r="B17" s="9" t="s">
        <v>199</v>
      </c>
      <c r="C17" s="9" t="s">
        <v>200</v>
      </c>
      <c r="D17" s="9" t="s">
        <v>201</v>
      </c>
    </row>
    <row r="18" spans="1:4" ht="51.95" customHeight="1">
      <c r="A18" s="9" t="s">
        <v>202</v>
      </c>
      <c r="B18" s="9" t="s">
        <v>203</v>
      </c>
      <c r="C18" s="9" t="s">
        <v>204</v>
      </c>
      <c r="D18" s="9" t="s">
        <v>205</v>
      </c>
    </row>
    <row r="19" spans="1:4" ht="51.95" customHeight="1">
      <c r="A19" s="9" t="s">
        <v>206</v>
      </c>
      <c r="B19" s="9" t="s">
        <v>207</v>
      </c>
      <c r="C19" s="9" t="s">
        <v>208</v>
      </c>
      <c r="D19" s="9" t="s">
        <v>209</v>
      </c>
    </row>
    <row r="20" spans="1:4">
      <c r="A20" s="1"/>
      <c r="B20" s="1"/>
      <c r="C20" s="1"/>
      <c r="D20" s="1"/>
    </row>
    <row r="21" spans="1:4">
      <c r="A21" s="29" t="s">
        <v>210</v>
      </c>
      <c r="B21" s="29" t="s">
        <v>210</v>
      </c>
      <c r="C21" s="29" t="s">
        <v>210</v>
      </c>
      <c r="D21" s="29" t="s">
        <v>210</v>
      </c>
    </row>
    <row r="22" spans="1:4">
      <c r="A22" s="1"/>
      <c r="B22" s="1"/>
      <c r="C22" s="1"/>
      <c r="D22" s="1"/>
    </row>
    <row r="23" spans="1:4">
      <c r="A23" s="1"/>
      <c r="B23" s="1"/>
      <c r="C23" s="1"/>
      <c r="D23" s="1"/>
    </row>
    <row r="24" spans="1:4">
      <c r="A24" s="1"/>
      <c r="B24" s="1"/>
      <c r="C24" s="1"/>
      <c r="D24" s="1"/>
    </row>
    <row r="25" spans="1:4">
      <c r="A25" s="1"/>
      <c r="B25" s="1"/>
      <c r="C25" s="1"/>
      <c r="D25" s="1"/>
    </row>
    <row r="26" spans="1:4">
      <c r="A26" s="1"/>
      <c r="B26" s="1"/>
      <c r="C26" s="1"/>
      <c r="D26" s="1"/>
    </row>
    <row r="27" spans="1:4">
      <c r="A27" s="1"/>
      <c r="B27" s="1"/>
      <c r="C27" s="1"/>
      <c r="D27" s="1"/>
    </row>
    <row r="28" spans="1:4">
      <c r="A28" s="1"/>
      <c r="B28" s="1"/>
      <c r="C28" s="1"/>
      <c r="D28" s="1"/>
    </row>
  </sheetData>
  <mergeCells count="4">
    <mergeCell ref="A1:D2"/>
    <mergeCell ref="A4:D4"/>
    <mergeCell ref="A11:D11"/>
    <mergeCell ref="A21:D21"/>
  </mergeCells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6"/>
  <sheetViews>
    <sheetView showGridLines="0" workbookViewId="0"/>
  </sheetViews>
  <sheetFormatPr baseColWidth="10" defaultColWidth="9" defaultRowHeight="14.25"/>
  <cols>
    <col min="1" max="1" width="52" customWidth="1"/>
    <col min="2" max="2" width="18" customWidth="1"/>
    <col min="3" max="3" width="38" customWidth="1"/>
  </cols>
  <sheetData>
    <row r="1" spans="1:3" ht="33.950000000000003" customHeight="1">
      <c r="A1" s="22" t="s">
        <v>211</v>
      </c>
      <c r="B1" s="22" t="s">
        <v>211</v>
      </c>
      <c r="C1" s="22" t="s">
        <v>211</v>
      </c>
    </row>
    <row r="2" spans="1:3" ht="33.950000000000003" customHeight="1">
      <c r="A2" s="22" t="s">
        <v>211</v>
      </c>
      <c r="B2" s="22" t="s">
        <v>211</v>
      </c>
      <c r="C2" s="22" t="s">
        <v>211</v>
      </c>
    </row>
    <row r="3" spans="1:3">
      <c r="A3" s="1"/>
      <c r="B3" s="1"/>
      <c r="C3" s="1"/>
    </row>
    <row r="4" spans="1:3">
      <c r="A4" s="10" t="s">
        <v>212</v>
      </c>
      <c r="B4" s="10" t="s">
        <v>213</v>
      </c>
      <c r="C4" s="10" t="s">
        <v>214</v>
      </c>
    </row>
    <row r="5" spans="1:3" ht="48" customHeight="1">
      <c r="A5" s="3"/>
      <c r="B5" s="4"/>
      <c r="C5" s="3"/>
    </row>
    <row r="6" spans="1:3" ht="48" customHeight="1">
      <c r="A6" s="3"/>
      <c r="B6" s="4"/>
      <c r="C6" s="3"/>
    </row>
    <row r="7" spans="1:3" ht="48" customHeight="1">
      <c r="A7" s="3"/>
      <c r="B7" s="4"/>
      <c r="C7" s="3"/>
    </row>
    <row r="8" spans="1:3" ht="48" customHeight="1">
      <c r="A8" s="3"/>
      <c r="B8" s="4"/>
      <c r="C8" s="3"/>
    </row>
    <row r="9" spans="1:3" ht="48" customHeight="1">
      <c r="A9" s="3"/>
      <c r="B9" s="4"/>
      <c r="C9" s="3"/>
    </row>
    <row r="10" spans="1:3" ht="48" customHeight="1">
      <c r="A10" s="3"/>
      <c r="B10" s="4"/>
      <c r="C10" s="3"/>
    </row>
    <row r="11" spans="1:3" ht="48" customHeight="1">
      <c r="A11" s="3"/>
      <c r="B11" s="4"/>
      <c r="C11" s="3"/>
    </row>
    <row r="12" spans="1:3">
      <c r="A12" s="1"/>
      <c r="B12" s="1"/>
      <c r="C12" s="1"/>
    </row>
    <row r="13" spans="1:3">
      <c r="A13" s="1"/>
      <c r="B13" s="1"/>
      <c r="C13" s="1"/>
    </row>
    <row r="14" spans="1:3">
      <c r="A14" s="1"/>
      <c r="B14" s="1"/>
      <c r="C14" s="1"/>
    </row>
    <row r="15" spans="1:3">
      <c r="A15" s="1"/>
      <c r="B15" s="1"/>
      <c r="C15" s="1"/>
    </row>
    <row r="16" spans="1:3">
      <c r="A16" s="1"/>
      <c r="B16" s="1"/>
      <c r="C16" s="1"/>
    </row>
  </sheetData>
  <mergeCells count="1">
    <mergeCell ref="A1:C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Übersicht</vt:lpstr>
      <vt:lpstr>Review 7.3</vt:lpstr>
      <vt:lpstr>Eingabe- &amp; Ausgabe</vt:lpstr>
      <vt:lpstr>Maßnahmen</vt:lpstr>
      <vt:lpstr>Legende &amp; Hinweise</vt:lpstr>
      <vt:lpstr>Unterschriften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Julius</cp:lastModifiedBy>
  <dcterms:modified xsi:type="dcterms:W3CDTF">2026-08-05T22:45:19Z</dcterms:modified>
</cp:coreProperties>
</file>